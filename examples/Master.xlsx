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6" documentId="14_{138DE2AC-1CB8-4EEF-A9A8-AE241DF411B4}" xr6:coauthVersionLast="47" xr6:coauthVersionMax="47" xr10:uidLastSave="{D6113BE1-5DD2-48CC-8395-CDE5E32A6783}"/>
  <bookViews>
    <workbookView xWindow="-98" yWindow="-98" windowWidth="24196" windowHeight="14476" activeTab="3" xr2:uid="{F927CA6B-8FE7-4C99-8FAB-61460171F1DB}"/>
  </bookViews>
  <sheets>
    <sheet name="UPRIGHT_MASTER" sheetId="1" r:id="rId1"/>
    <sheet name="BEAM_MASTER" sheetId="2" r:id="rId2"/>
    <sheet name="BRACING_MASTER" sheetId="3" r:id="rId3"/>
    <sheet name="BASE_STIFFNESS" sheetId="4" r:id="rId4"/>
  </sheets>
  <externalReferences>
    <externalReference r:id="rId5"/>
    <externalReference r:id="rId6"/>
  </externalReferences>
  <definedNames>
    <definedName name="_xlnm._FilterDatabase" localSheetId="1" hidden="1">BEAM_MASTER!$B$5:$K$26</definedName>
    <definedName name="BM_LIST" localSheetId="3">[2]BEAM_MASTER!$D$6:$D$26</definedName>
    <definedName name="BM_LIST">[1]BEAM_MASTER!$D$6:$D$26</definedName>
    <definedName name="BR_LIST" localSheetId="3">[2]BRACING_MASTER!$B$6:$B$9</definedName>
    <definedName name="BR_LIST">[1]BRACING_MASTER!$B$6:$B$9</definedName>
    <definedName name="in_Aeff" localSheetId="3">'[2]FEA Solver'!$D$16</definedName>
    <definedName name="in_Aeff">'[1]FEA Solver'!$D$16</definedName>
    <definedName name="in_base_condition">'[2]FEA Solver'!$C$130</definedName>
    <definedName name="in_bay" localSheetId="3">'[2]FEA Solver'!$D$7</definedName>
    <definedName name="in_bay">'[1]FEA Solver'!$D$7</definedName>
    <definedName name="in_bm_sec" localSheetId="3">'[2]FEA Solver'!$F$23</definedName>
    <definedName name="in_bm_sec">'[1]FEA Solver'!$F$23</definedName>
    <definedName name="in_br_sec" localSheetId="3">'[2]FEA Solver'!$F$32</definedName>
    <definedName name="in_br_sec">'[1]FEA Solver'!$F$32</definedName>
    <definedName name="in_brace_pitch">'[2]FEA Solver'!$F$33</definedName>
    <definedName name="in_bracetype">'[2]FEA Solver'!$D$32</definedName>
    <definedName name="in_da_gap">'[2]FEA Solver'!$D$9</definedName>
    <definedName name="in_defln" localSheetId="3">'[2]FEA Solver'!$D$13</definedName>
    <definedName name="in_defln">'[1]FEA Solver'!$D$13</definedName>
    <definedName name="in_depth">'[2]FEA Solver'!$D$8</definedName>
    <definedName name="in_fy_beam" localSheetId="3">'[2]FEA Solver'!$D$28</definedName>
    <definedName name="in_fy_beam">'[1]FEA Solver'!$D$28</definedName>
    <definedName name="in_fy_up" localSheetId="3">'[2]FEA Solver'!$D$20</definedName>
    <definedName name="in_fy_up">'[1]FEA Solver'!$D$20</definedName>
    <definedName name="in_gammaf" localSheetId="3">'[2]FEA Solver'!$D$12</definedName>
    <definedName name="in_gammaf">'[1]FEA Solver'!$D$12</definedName>
    <definedName name="in_include_accidental">'[2]FEA Solver'!$C$128</definedName>
    <definedName name="in_include_placement">'[2]FEA Solver'!$C$129</definedName>
    <definedName name="in_level_beams">'[2]FEA Solver'!$D$95:$D$124</definedName>
    <definedName name="in_level_gaps_mm">'[2]FEA Solver'!$C$95:$C$124</definedName>
    <definedName name="in_levels" localSheetId="3">'[2]FEA Solver'!$D$10</definedName>
    <definedName name="in_levels">'[1]FEA Solver'!$D$10</definedName>
    <definedName name="in_load" localSheetId="3">'[2]FEA Solver'!$D$11</definedName>
    <definedName name="in_load">'[1]FEA Solver'!$D$11</definedName>
    <definedName name="in_MRdconn" localSheetId="3">'[2]FEA Solver'!$D$27</definedName>
    <definedName name="in_MRdconn">'[1]FEA Solver'!$D$27</definedName>
    <definedName name="in_up_sec" localSheetId="3">'[2]FEA Solver'!$F$16</definedName>
    <definedName name="in_up_sec">'[1]FEA Solver'!$F$16</definedName>
    <definedName name="res_alphacr" localSheetId="3">'[2]FEA Solver'!$F$46</definedName>
    <definedName name="res_alphacr">'[1]FEA Solver'!$F$46</definedName>
    <definedName name="res_B2" localSheetId="3">'[2]FEA Solver'!$F$47</definedName>
    <definedName name="res_B2">'[1]FEA Solver'!$F$47</definedName>
    <definedName name="res_defl" localSheetId="3">'[2]FEA Solver'!$D$54</definedName>
    <definedName name="res_defl">'[1]FEA Solver'!$D$54</definedName>
    <definedName name="res_driftx" localSheetId="3">'[2]FEA Solver'!$D$55</definedName>
    <definedName name="res_driftx">'[1]FEA Solver'!$D$55</definedName>
    <definedName name="res_Mend" localSheetId="3">'[2]FEA Solver'!$D$52</definedName>
    <definedName name="res_Mend">'[1]FEA Solver'!$D$52</definedName>
    <definedName name="res_Mmid" localSheetId="3">'[2]FEA Solver'!$D$51</definedName>
    <definedName name="res_Mmid">'[1]FEA Solver'!$D$51</definedName>
    <definedName name="res_My" localSheetId="3">'[2]FEA Solver'!$D$49</definedName>
    <definedName name="res_My">'[1]FEA Solver'!$D$49</definedName>
    <definedName name="res_Mz" localSheetId="3">'[2]FEA Solver'!$D$50</definedName>
    <definedName name="res_Mz">'[1]FEA Solver'!$D$50</definedName>
    <definedName name="res_N_Ed" localSheetId="3">'[2]FEA Solver'!$D$48</definedName>
    <definedName name="res_N_Ed">'[1]FEA Solver'!$D$48</definedName>
    <definedName name="res_Nbrace" localSheetId="3">'[2]FEA Solver'!$D$53</definedName>
    <definedName name="res_Nbrace">'[1]FEA Solver'!$D$53</definedName>
    <definedName name="res_swayok" localSheetId="3">'[2]FEA Solver'!$D$58</definedName>
    <definedName name="res_swayok">'[1]FEA Solver'!$D$58</definedName>
    <definedName name="UP_LIST" localSheetId="3">[2]UPRIGHT_MASTER!$B$6:$B$30</definedName>
    <definedName name="UP_LIST">[1]UPRIGHT_MASTER!$B$6:$B$30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D6" i="3"/>
  <c r="E5" i="3"/>
  <c r="D5" i="3"/>
  <c r="J6" i="2" l="1"/>
</calcChain>
</file>

<file path=xl/sharedStrings.xml><?xml version="1.0" encoding="utf-8"?>
<sst xmlns="http://schemas.openxmlformats.org/spreadsheetml/2006/main" count="274" uniqueCount="127">
  <si>
    <t>UPRIGHT SECTION MASTER — EN 15512</t>
  </si>
  <si>
    <t>Cold-formed perforated upright (column) sections. Effective properties per EN 1993-1-3 / EN 15512 stub-column tests. M_Rd,y = Weff,y × fy.</t>
  </si>
  <si>
    <t>Section</t>
  </si>
  <si>
    <t>Description</t>
  </si>
  <si>
    <t>Aeff
(cm²)</t>
  </si>
  <si>
    <t>Iyy
(cm⁴)</t>
  </si>
  <si>
    <t>Izz
(cm⁴)</t>
  </si>
  <si>
    <t>iyy
(cm)</t>
  </si>
  <si>
    <t>izz
(cm)</t>
  </si>
  <si>
    <t>Weff,y
(cm³)</t>
  </si>
  <si>
    <t>Weff,z
(cm³)</t>
  </si>
  <si>
    <t>fy
(kN/cm²)</t>
  </si>
  <si>
    <t>H depth
(cm)</t>
  </si>
  <si>
    <t>t wall
(cm)</t>
  </si>
  <si>
    <t>UP0002</t>
  </si>
  <si>
    <t>Upright 90X61X1.6 no lip -woh</t>
  </si>
  <si>
    <t>UP0003</t>
  </si>
  <si>
    <t>Upright 90X61X1.6 no lip-wsh-25p-s</t>
  </si>
  <si>
    <t>UP0004</t>
  </si>
  <si>
    <t>Upright 90X61X2 no lip -woh</t>
  </si>
  <si>
    <t>UP0005</t>
  </si>
  <si>
    <t>Upright 90X61X2 no lip-wsh-25p-s</t>
  </si>
  <si>
    <t>UP0006</t>
  </si>
  <si>
    <t>Upright 120X61X1.6 no lip -woh</t>
  </si>
  <si>
    <t>UP0007</t>
  </si>
  <si>
    <t>Upright 120X61X1.6 no lip-wsh-25p-s</t>
  </si>
  <si>
    <t>UP0008</t>
  </si>
  <si>
    <t>Upright 120X61X2 no lip -woh</t>
  </si>
  <si>
    <t>UP0009</t>
  </si>
  <si>
    <t>Upright 120X61X2 no lip-wsh-25p-s</t>
  </si>
  <si>
    <t>UP0010</t>
  </si>
  <si>
    <t>Upright 90X63X1.6 with lip-woh</t>
  </si>
  <si>
    <t>UP0011</t>
  </si>
  <si>
    <t>Upright 90X63X1.6 with lip-wsh-25p-s</t>
  </si>
  <si>
    <t>UP0012</t>
  </si>
  <si>
    <t>Upright 90X63X2 with lip -woh</t>
  </si>
  <si>
    <t>UP0013</t>
  </si>
  <si>
    <t>Upright 90X63X2 with lip-wsh-25p-s</t>
  </si>
  <si>
    <t>UP0014</t>
  </si>
  <si>
    <t>Upright 90X63X2.5 with lip -woh</t>
  </si>
  <si>
    <t>UP0015</t>
  </si>
  <si>
    <t>Upright 90X63X2.5 with lip-wsh-25p-s</t>
  </si>
  <si>
    <t>UP0016</t>
  </si>
  <si>
    <t>Upright 120X63X1.6 with lip-woh</t>
  </si>
  <si>
    <t>UP0017</t>
  </si>
  <si>
    <t>Upright 120X63X1.6 with lip-wsh-25p-s</t>
  </si>
  <si>
    <t>UP0018</t>
  </si>
  <si>
    <t>Upright 120X63X2 with lip-woh</t>
  </si>
  <si>
    <t>UP0019</t>
  </si>
  <si>
    <t>Upright 120X63X2 with lip-wsh-25p-s</t>
  </si>
  <si>
    <t>UP0020</t>
  </si>
  <si>
    <t>Upright 120X63X2.5 with lip-woh</t>
  </si>
  <si>
    <t>UP0021</t>
  </si>
  <si>
    <t>Upright 120X63X2.5 with lip-wsh-25p-s</t>
  </si>
  <si>
    <t>UP0022</t>
  </si>
  <si>
    <t>Upright 120x107x2</t>
  </si>
  <si>
    <t>UP0023</t>
  </si>
  <si>
    <t>Upright 120x107x2.3</t>
  </si>
  <si>
    <t>UP0024</t>
  </si>
  <si>
    <t>Upright 120x107x2.5</t>
  </si>
  <si>
    <t>UP0025</t>
  </si>
  <si>
    <t>Upright 120x107x3</t>
  </si>
  <si>
    <t>UP0026</t>
  </si>
  <si>
    <t>Upright 120x107x3.5</t>
  </si>
  <si>
    <t>BEAM (TRAVERSE) SECTION MASTER — EN 15512</t>
  </si>
  <si>
    <t>All RHS traverse sections. Beam-end connector stiffness Kb depends on the UPRIGHT wall thickness (1.6 / 2.0 / 2.5 mm) — the check pulls the Kb column matching the selected upright. M_Rd = connector-derived limit (capped at 0.8×section capacity). EI in kNcm².</t>
  </si>
  <si>
    <t>#</t>
  </si>
  <si>
    <t>EI
(kNcm²)</t>
  </si>
  <si>
    <t>SHS 38x38x1.6</t>
  </si>
  <si>
    <t>RHS 180x60x1.6</t>
  </si>
  <si>
    <t>RHS 180x60x2.0</t>
  </si>
  <si>
    <t>RHS 60x40x1.2</t>
  </si>
  <si>
    <t>RHS 60x40x1.6</t>
  </si>
  <si>
    <t>RHS 80x40x1.2</t>
  </si>
  <si>
    <t>RHS 80x40x1.6</t>
  </si>
  <si>
    <t>RHS 80x40x2.0</t>
  </si>
  <si>
    <t>RHS 100x50x1.2</t>
  </si>
  <si>
    <t>RHS 100x50x1.6</t>
  </si>
  <si>
    <t>RHS 100x50x2.0</t>
  </si>
  <si>
    <t>RHS 112x50x1.6</t>
  </si>
  <si>
    <t>RHS 112x50x2.0</t>
  </si>
  <si>
    <t>RHS 122x61x1.6</t>
  </si>
  <si>
    <t>RHS 122x61x2.0</t>
  </si>
  <si>
    <t>RHS 145x50x1.6</t>
  </si>
  <si>
    <t>RHS 145x50x2.0</t>
  </si>
  <si>
    <t>RHS 122x61x1.4</t>
  </si>
  <si>
    <t>RHS 80x50x1.2</t>
  </si>
  <si>
    <t>RHS 80x50x1.6</t>
  </si>
  <si>
    <t>RHS 80x50x2.0</t>
  </si>
  <si>
    <t>Length (cm)</t>
  </si>
  <si>
    <t>Width (cm)</t>
  </si>
  <si>
    <t>Thickness (mm)</t>
  </si>
  <si>
    <t>SECTION</t>
  </si>
  <si>
    <r>
      <t>Second Momemt of Inertia (cm</t>
    </r>
    <r>
      <rPr>
        <b/>
        <vertAlign val="superscript"/>
        <sz val="8"/>
        <color rgb="FFFFFFFF"/>
        <rFont val="Calibri"/>
        <family val="2"/>
      </rPr>
      <t>4</t>
    </r>
    <r>
      <rPr>
        <b/>
        <sz val="8"/>
        <color rgb="FFFFFFFF"/>
        <rFont val="Calibri"/>
        <family val="2"/>
      </rPr>
      <t>)</t>
    </r>
  </si>
  <si>
    <r>
      <t>Section Modulus (cm</t>
    </r>
    <r>
      <rPr>
        <b/>
        <vertAlign val="superscript"/>
        <sz val="8"/>
        <color rgb="FFFFFFFF"/>
        <rFont val="Calibri"/>
        <family val="2"/>
      </rPr>
      <t>3</t>
    </r>
    <r>
      <rPr>
        <b/>
        <sz val="8"/>
        <color rgb="FFFFFFFF"/>
        <rFont val="Calibri"/>
        <family val="2"/>
      </rPr>
      <t>)</t>
    </r>
  </si>
  <si>
    <r>
      <t>Yield Strength (f</t>
    </r>
    <r>
      <rPr>
        <b/>
        <vertAlign val="subscript"/>
        <sz val="8"/>
        <color rgb="FFFFFFFF"/>
        <rFont val="Calibri"/>
        <family val="2"/>
      </rPr>
      <t>y</t>
    </r>
    <r>
      <rPr>
        <b/>
        <sz val="8"/>
        <color rgb="FFFFFFFF"/>
        <rFont val="Calibri"/>
        <family val="2"/>
      </rPr>
      <t>)</t>
    </r>
  </si>
  <si>
    <t>Section M_Rd
(kNcm)</t>
  </si>
  <si>
    <t>Sec Height</t>
  </si>
  <si>
    <t>Sec Depth</t>
  </si>
  <si>
    <t>Sec Thick</t>
  </si>
  <si>
    <t>edge 1 - e1</t>
  </si>
  <si>
    <t>edge 2 - e2</t>
  </si>
  <si>
    <t>Section Type</t>
  </si>
  <si>
    <t>C 34X34X2.0</t>
  </si>
  <si>
    <r>
      <t>Section Area (cm</t>
    </r>
    <r>
      <rPr>
        <vertAlign val="superscript"/>
        <sz val="10"/>
        <rFont val="Cambria"/>
        <family val="1"/>
      </rPr>
      <t>2</t>
    </r>
    <r>
      <rPr>
        <sz val="10"/>
        <rFont val="Cambria"/>
        <family val="1"/>
      </rPr>
      <t>)</t>
    </r>
  </si>
  <si>
    <t xml:space="preserve">Iyy (cm4) </t>
  </si>
  <si>
    <t>Izz (cm4)</t>
  </si>
  <si>
    <t xml:space="preserve">Ryy (cm) </t>
  </si>
  <si>
    <r>
      <t>R</t>
    </r>
    <r>
      <rPr>
        <vertAlign val="subscript"/>
        <sz val="10"/>
        <rFont val="Cambria"/>
        <family val="1"/>
      </rPr>
      <t>zz</t>
    </r>
    <r>
      <rPr>
        <sz val="10"/>
        <rFont val="Cambria"/>
        <family val="1"/>
      </rPr>
      <t xml:space="preserve"> (cm)</t>
    </r>
  </si>
  <si>
    <t>Zyy (cm3)</t>
  </si>
  <si>
    <t>Zzz (cm3)</t>
  </si>
  <si>
    <r>
      <t>I</t>
    </r>
    <r>
      <rPr>
        <vertAlign val="subscript"/>
        <sz val="10"/>
        <rFont val="Cambria"/>
        <family val="1"/>
      </rPr>
      <t>T</t>
    </r>
    <r>
      <rPr>
        <sz val="10"/>
        <rFont val="Cambria"/>
        <family val="1"/>
      </rPr>
      <t xml:space="preserve"> (St venant Torsion Constant) (cm</t>
    </r>
    <r>
      <rPr>
        <vertAlign val="superscript"/>
        <sz val="10"/>
        <rFont val="Cambria"/>
        <family val="1"/>
      </rPr>
      <t>4</t>
    </r>
    <r>
      <rPr>
        <sz val="10"/>
        <rFont val="Cambria"/>
        <family val="1"/>
      </rPr>
      <t>)</t>
    </r>
  </si>
  <si>
    <r>
      <t>y</t>
    </r>
    <r>
      <rPr>
        <vertAlign val="subscript"/>
        <sz val="10"/>
        <rFont val="Cambria"/>
        <family val="1"/>
      </rPr>
      <t>0</t>
    </r>
    <r>
      <rPr>
        <sz val="10"/>
        <rFont val="Cambria"/>
        <family val="1"/>
      </rPr>
      <t xml:space="preserve"> (cm)</t>
    </r>
  </si>
  <si>
    <r>
      <t>I</t>
    </r>
    <r>
      <rPr>
        <vertAlign val="subscript"/>
        <sz val="10"/>
        <rFont val="Cambria"/>
        <family val="1"/>
      </rPr>
      <t>w</t>
    </r>
    <r>
      <rPr>
        <sz val="10"/>
        <rFont val="Cambria"/>
        <family val="1"/>
      </rPr>
      <t xml:space="preserve"> (Warping Constant) (cm</t>
    </r>
    <r>
      <rPr>
        <vertAlign val="superscript"/>
        <sz val="10"/>
        <rFont val="Cambria"/>
        <family val="1"/>
      </rPr>
      <t>6</t>
    </r>
    <r>
      <rPr>
        <sz val="10"/>
        <rFont val="Cambria"/>
        <family val="1"/>
      </rPr>
      <t>)</t>
    </r>
  </si>
  <si>
    <r>
      <t>F</t>
    </r>
    <r>
      <rPr>
        <vertAlign val="subscript"/>
        <sz val="10"/>
        <rFont val="Cambria"/>
        <family val="1"/>
      </rPr>
      <t>y</t>
    </r>
    <r>
      <rPr>
        <sz val="10"/>
        <rFont val="Cambria"/>
        <family val="1"/>
      </rPr>
      <t xml:space="preserve"> (kN/cm</t>
    </r>
    <r>
      <rPr>
        <vertAlign val="superscript"/>
        <sz val="10"/>
        <rFont val="Cambria"/>
        <family val="1"/>
      </rPr>
      <t>2</t>
    </r>
    <r>
      <rPr>
        <sz val="10"/>
        <rFont val="Cambria"/>
        <family val="1"/>
      </rPr>
      <t>)</t>
    </r>
  </si>
  <si>
    <r>
      <t>F</t>
    </r>
    <r>
      <rPr>
        <vertAlign val="subscript"/>
        <sz val="10"/>
        <rFont val="Cambria"/>
        <family val="1"/>
      </rPr>
      <t xml:space="preserve">u </t>
    </r>
    <r>
      <rPr>
        <sz val="10"/>
        <rFont val="Cambria"/>
        <family val="1"/>
      </rPr>
      <t>(kN/cm</t>
    </r>
    <r>
      <rPr>
        <vertAlign val="superscript"/>
        <sz val="10"/>
        <rFont val="Cambria"/>
        <family val="1"/>
      </rPr>
      <t>2</t>
    </r>
    <r>
      <rPr>
        <sz val="10"/>
        <rFont val="Cambria"/>
        <family val="1"/>
      </rPr>
      <t>)</t>
    </r>
  </si>
  <si>
    <t>Thk. of Section</t>
  </si>
  <si>
    <t>end dist. e1</t>
  </si>
  <si>
    <t>end dist. e2</t>
  </si>
  <si>
    <t>C 36X21X1.2</t>
  </si>
  <si>
    <t>C 36X21X1.5</t>
  </si>
  <si>
    <t>k_b(N), M_Rd(N) &amp; θ(N) per UP0002 Section — Theoretical (section-scaled)</t>
  </si>
  <si>
    <t>k_b(N)=cs·E·Iyy·N+cK·E·Iyy [kNcm/rad]. M_Rd(N)=(k2/(fy·t))·N²+(k1·H)·N+(k0·M_Rd,y) [kNcm]. θ=M_Rd/k_b [rad]. N in 10 kN steps; rows shown up to the peak (max M_Rd), next step blanked. '90% max' row = load &amp; M_Rd at 0.9·M_Rd,max.</t>
  </si>
  <si>
    <t>N (kN)</t>
  </si>
  <si>
    <t>k_b (kNcm/rad)</t>
  </si>
  <si>
    <t>M_Rd (kNcm)</t>
  </si>
  <si>
    <t>θ at M_Rd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</si>
</sst>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"/>
    <numFmt numFmtId="167" formatCode="#,##0.0"/>
  </numFmts>
  <fonts count="20" x14ac:knownFonts="1">
    <font>
      <sz val="11"/>
      <color theme="1"/>
      <name val="Calibri"/>
      <family val="2"/>
      <scheme val="minor"/>
    </font>
    <font>
      <b/>
      <sz val="14"/>
      <color rgb="FF20808D"/>
      <name val="Calibri"/>
      <charset val="1"/>
    </font>
    <font>
      <i/>
      <sz val="9"/>
      <color rgb="FF555555"/>
      <name val="Calibri"/>
      <charset val="1"/>
    </font>
    <font>
      <b/>
      <sz val="9"/>
      <color rgb="FFFFFFFF"/>
      <name val="Calibri"/>
      <charset val="1"/>
    </font>
    <font>
      <b/>
      <sz val="9"/>
      <color rgb="FF1B474D"/>
      <name val="Calibri"/>
      <charset val="1"/>
    </font>
    <font>
      <sz val="8"/>
      <color rgb="FF000000"/>
      <name val="Calibri"/>
      <charset val="1"/>
    </font>
    <font>
      <b/>
      <sz val="8"/>
      <color rgb="FFFFFFFF"/>
      <name val="Calibri"/>
      <charset val="1"/>
    </font>
    <font>
      <b/>
      <sz val="8"/>
      <color rgb="FF1B474D"/>
      <name val="Calibri"/>
      <charset val="1"/>
    </font>
    <font>
      <b/>
      <sz val="8"/>
      <color rgb="FFFFFFFF"/>
      <name val="Calibri"/>
      <family val="2"/>
    </font>
    <font>
      <b/>
      <vertAlign val="superscript"/>
      <sz val="8"/>
      <color rgb="FFFFFFFF"/>
      <name val="Calibri"/>
      <family val="2"/>
    </font>
    <font>
      <b/>
      <vertAlign val="subscript"/>
      <sz val="8"/>
      <color rgb="FFFFFFFF"/>
      <name val="Calibri"/>
      <family val="2"/>
    </font>
    <font>
      <sz val="10"/>
      <name val="Calibri Light"/>
      <family val="1"/>
      <scheme val="major"/>
    </font>
    <font>
      <vertAlign val="superscript"/>
      <sz val="10"/>
      <name val="Cambria"/>
      <family val="1"/>
    </font>
    <font>
      <sz val="10"/>
      <name val="Cambria"/>
      <family val="1"/>
    </font>
    <font>
      <vertAlign val="subscript"/>
      <sz val="10"/>
      <name val="Cambria"/>
      <family val="1"/>
    </font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444444"/>
      <name val="Calibri"/>
      <charset val="1"/>
    </font>
    <font>
      <b/>
      <sz val="11"/>
      <color rgb="FFFFFFFF"/>
      <name val="Calibri"/>
      <charset val="1"/>
    </font>
    <font>
      <i/>
      <sz val="9"/>
      <color rgb="FFFFFF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20808D"/>
        <bgColor rgb="FF008080"/>
      </patternFill>
    </fill>
    <fill>
      <patternFill patternType="solid">
        <fgColor rgb="FFEBEEEF"/>
        <bgColor rgb="FFF4E9C1"/>
      </patternFill>
    </fill>
    <fill>
      <patternFill patternType="solid">
        <fgColor indexed="9"/>
        <bgColor indexed="64"/>
      </patternFill>
    </fill>
    <fill>
      <patternFill patternType="solid">
        <fgColor rgb="FF1B474D"/>
        <bgColor rgb="FF3A3A3A"/>
      </patternFill>
    </fill>
    <fill>
      <patternFill patternType="solid">
        <fgColor rgb="FF20808D"/>
        <bgColor rgb="FF1F6F78"/>
      </patternFill>
    </fill>
    <fill>
      <patternFill patternType="solid">
        <fgColor rgb="FFEBEEEF"/>
        <bgColor rgb="FFEEEEEE"/>
      </patternFill>
    </fill>
    <fill>
      <patternFill patternType="solid">
        <fgColor rgb="FFC6E0B4"/>
        <bgColor rgb="FFC6EFCE"/>
      </patternFill>
    </fill>
  </fills>
  <borders count="4">
    <border>
      <left/>
      <right/>
      <top/>
      <bottom/>
      <diagonal/>
    </border>
    <border>
      <left style="thin">
        <color rgb="FFC9CDCE"/>
      </left>
      <right style="thin">
        <color rgb="FFC9CDCE"/>
      </right>
      <top style="thin">
        <color rgb="FFC9CDCE"/>
      </top>
      <bottom style="thin">
        <color rgb="FFC9CD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5" fillId="0" borderId="0"/>
  </cellStyleXfs>
  <cellXfs count="4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2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6" fillId="5" borderId="0" xfId="1" applyFont="1" applyFill="1" applyAlignment="1">
      <alignment horizontal="left" vertical="center"/>
    </xf>
    <xf numFmtId="0" fontId="15" fillId="0" borderId="0" xfId="1"/>
    <xf numFmtId="0" fontId="15" fillId="0" borderId="0" xfId="1"/>
    <xf numFmtId="0" fontId="17" fillId="0" borderId="0" xfId="1" applyFont="1" applyAlignment="1">
      <alignment horizontal="left" vertical="center" wrapText="1"/>
    </xf>
    <xf numFmtId="0" fontId="18" fillId="6" borderId="0" xfId="1" applyFont="1" applyFill="1" applyAlignment="1">
      <alignment horizontal="left" vertical="center" wrapText="1"/>
    </xf>
    <xf numFmtId="0" fontId="19" fillId="6" borderId="0" xfId="1" applyFont="1" applyFill="1" applyAlignment="1">
      <alignment horizontal="left" vertical="center" wrapText="1"/>
    </xf>
    <xf numFmtId="0" fontId="4" fillId="7" borderId="3" xfId="1" applyFont="1" applyFill="1" applyBorder="1" applyAlignment="1">
      <alignment horizontal="center" vertical="center" wrapText="1"/>
    </xf>
    <xf numFmtId="1" fontId="15" fillId="0" borderId="3" xfId="1" applyNumberFormat="1" applyBorder="1" applyAlignment="1">
      <alignment horizontal="right" vertical="center"/>
    </xf>
    <xf numFmtId="3" fontId="15" fillId="8" borderId="3" xfId="1" applyNumberFormat="1" applyFill="1" applyBorder="1"/>
    <xf numFmtId="167" fontId="15" fillId="8" borderId="3" xfId="1" applyNumberFormat="1" applyFill="1" applyBorder="1"/>
    <xf numFmtId="166" fontId="15" fillId="8" borderId="3" xfId="1" applyNumberFormat="1" applyFill="1" applyBorder="1"/>
    <xf numFmtId="3" fontId="15" fillId="0" borderId="3" xfId="1" applyNumberFormat="1" applyBorder="1"/>
    <xf numFmtId="167" fontId="15" fillId="0" borderId="3" xfId="1" applyNumberFormat="1" applyBorder="1"/>
    <xf numFmtId="166" fontId="15" fillId="0" borderId="3" xfId="1" applyNumberFormat="1" applyBorder="1"/>
  </cellXfs>
  <cellStyles count="2">
    <cellStyle name="Normal" xfId="0" builtinId="0"/>
    <cellStyle name="Normal 2" xfId="1" xr:uid="{940A03D8-1767-4B8B-8205-5F65113CF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ackFEA\EN15512_Calc.xlsm" TargetMode="External"/><Relationship Id="rId1" Type="http://schemas.openxmlformats.org/officeDocument/2006/relationships/externalLinkPath" Target="file:///D:\RackFEA\EN15512_Cal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uma\Downloads\EN15512_Calc_V1_2.xlsm" TargetMode="External"/><Relationship Id="rId1" Type="http://schemas.openxmlformats.org/officeDocument/2006/relationships/externalLinkPath" Target="file:///C:\Users\nuuma\Downloads\EN15512_Calc_V1_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A Solver"/>
      <sheetName val="Model 3D"/>
      <sheetName val="Input &amp; Calc"/>
      <sheetName val="UPRIGHT_MASTER"/>
      <sheetName val="BASE_STIFFNESS"/>
      <sheetName val="BEAM_MASTER"/>
      <sheetName val="BRACING_MASTER"/>
    </sheetNames>
    <sheetDataSet>
      <sheetData sheetId="0">
        <row r="7">
          <cell r="D7">
            <v>2700</v>
          </cell>
        </row>
        <row r="10">
          <cell r="D10">
            <v>3</v>
          </cell>
        </row>
        <row r="11">
          <cell r="D11">
            <v>2000</v>
          </cell>
        </row>
        <row r="12">
          <cell r="D12">
            <v>1.4</v>
          </cell>
        </row>
        <row r="13">
          <cell r="D13">
            <v>200</v>
          </cell>
        </row>
        <row r="16">
          <cell r="D16">
            <v>3.18</v>
          </cell>
          <cell r="F16" t="str">
            <v>UP0002</v>
          </cell>
        </row>
        <row r="20">
          <cell r="D20">
            <v>35</v>
          </cell>
        </row>
        <row r="23">
          <cell r="F23" t="str">
            <v>RHS 112x50x1.6</v>
          </cell>
        </row>
        <row r="27">
          <cell r="D27">
            <v>165</v>
          </cell>
        </row>
        <row r="28">
          <cell r="D28">
            <v>31</v>
          </cell>
        </row>
        <row r="32">
          <cell r="F32" t="str">
            <v>C 36X21X1.2</v>
          </cell>
        </row>
        <row r="46">
          <cell r="F46">
            <v>2.157</v>
          </cell>
        </row>
        <row r="47">
          <cell r="F47">
            <v>1.8640000000000001</v>
          </cell>
        </row>
        <row r="48">
          <cell r="D48">
            <v>43.445999999999998</v>
          </cell>
        </row>
        <row r="49">
          <cell r="D49">
            <v>105.467</v>
          </cell>
        </row>
        <row r="50">
          <cell r="D50">
            <v>9.6240000000000006</v>
          </cell>
        </row>
        <row r="51">
          <cell r="D51">
            <v>371.67500000000001</v>
          </cell>
        </row>
        <row r="52">
          <cell r="D52">
            <v>128.89699999999999</v>
          </cell>
        </row>
        <row r="53">
          <cell r="D53">
            <v>0.57199999999999995</v>
          </cell>
        </row>
        <row r="54">
          <cell r="D54">
            <v>1.0958000000000001</v>
          </cell>
        </row>
        <row r="55">
          <cell r="D55">
            <v>1.1685000000000001</v>
          </cell>
        </row>
        <row r="58">
          <cell r="D58" t="b">
            <v>1</v>
          </cell>
        </row>
      </sheetData>
      <sheetData sheetId="1"/>
      <sheetData sheetId="2"/>
      <sheetData sheetId="3">
        <row r="6">
          <cell r="B6" t="str">
            <v>UP0002</v>
          </cell>
        </row>
        <row r="7">
          <cell r="B7" t="str">
            <v>UP0003</v>
          </cell>
        </row>
        <row r="8">
          <cell r="B8" t="str">
            <v>UP0004</v>
          </cell>
        </row>
        <row r="9">
          <cell r="B9" t="str">
            <v>UP0005</v>
          </cell>
        </row>
        <row r="10">
          <cell r="B10" t="str">
            <v>UP0006</v>
          </cell>
        </row>
        <row r="11">
          <cell r="B11" t="str">
            <v>UP0007</v>
          </cell>
        </row>
        <row r="12">
          <cell r="B12" t="str">
            <v>UP0008</v>
          </cell>
        </row>
        <row r="13">
          <cell r="B13" t="str">
            <v>UP0009</v>
          </cell>
        </row>
        <row r="14">
          <cell r="B14" t="str">
            <v>UP0010</v>
          </cell>
        </row>
        <row r="15">
          <cell r="B15" t="str">
            <v>UP0011</v>
          </cell>
        </row>
        <row r="16">
          <cell r="B16" t="str">
            <v>UP0012</v>
          </cell>
        </row>
        <row r="17">
          <cell r="B17" t="str">
            <v>UP0013</v>
          </cell>
        </row>
        <row r="18">
          <cell r="B18" t="str">
            <v>UP0014</v>
          </cell>
        </row>
        <row r="19">
          <cell r="B19" t="str">
            <v>UP0015</v>
          </cell>
        </row>
        <row r="20">
          <cell r="B20" t="str">
            <v>UP0016</v>
          </cell>
        </row>
        <row r="21">
          <cell r="B21" t="str">
            <v>UP0017</v>
          </cell>
        </row>
        <row r="22">
          <cell r="B22" t="str">
            <v>UP0018</v>
          </cell>
        </row>
        <row r="23">
          <cell r="B23" t="str">
            <v>UP0019</v>
          </cell>
        </row>
        <row r="24">
          <cell r="B24" t="str">
            <v>UP0020</v>
          </cell>
        </row>
        <row r="25">
          <cell r="B25" t="str">
            <v>UP0021</v>
          </cell>
        </row>
        <row r="26">
          <cell r="B26" t="str">
            <v>UP0022</v>
          </cell>
        </row>
        <row r="27">
          <cell r="B27" t="str">
            <v>UP0023</v>
          </cell>
        </row>
        <row r="28">
          <cell r="B28" t="str">
            <v>UP0024</v>
          </cell>
        </row>
        <row r="29">
          <cell r="B29" t="str">
            <v>UP0025</v>
          </cell>
        </row>
        <row r="30">
          <cell r="B30" t="str">
            <v>UP0026</v>
          </cell>
        </row>
      </sheetData>
      <sheetData sheetId="4"/>
      <sheetData sheetId="5">
        <row r="6">
          <cell r="D6" t="str">
            <v>RHS 60x40x1.2</v>
          </cell>
        </row>
        <row r="7">
          <cell r="D7" t="str">
            <v>RHS 60x40x1.6</v>
          </cell>
        </row>
        <row r="8">
          <cell r="D8" t="str">
            <v>RHS 80x40x1.2</v>
          </cell>
        </row>
        <row r="9">
          <cell r="D9" t="str">
            <v>RHS 80x40x1.6</v>
          </cell>
        </row>
        <row r="10">
          <cell r="D10" t="str">
            <v>RHS 80x40x2.0</v>
          </cell>
        </row>
        <row r="11">
          <cell r="D11" t="str">
            <v>RHS 100x50x1.2</v>
          </cell>
        </row>
        <row r="12">
          <cell r="D12" t="str">
            <v>RHS 100x50x1.6</v>
          </cell>
        </row>
        <row r="13">
          <cell r="D13" t="str">
            <v>RHS 100x50x2.0</v>
          </cell>
        </row>
        <row r="14">
          <cell r="D14" t="str">
            <v>RHS 112x50x1.6</v>
          </cell>
        </row>
        <row r="15">
          <cell r="D15" t="str">
            <v>RHS 112x50x2.0</v>
          </cell>
        </row>
        <row r="16">
          <cell r="D16" t="str">
            <v>RHS 122x61x1.6</v>
          </cell>
        </row>
        <row r="17">
          <cell r="D17" t="str">
            <v>RHS 122x61x2.0</v>
          </cell>
        </row>
        <row r="18">
          <cell r="D18" t="str">
            <v>RHS 145x50x1.6</v>
          </cell>
        </row>
        <row r="19">
          <cell r="D19" t="str">
            <v>RHS 145x50x2.0</v>
          </cell>
        </row>
        <row r="20">
          <cell r="D20" t="str">
            <v>RHS 122x61x1.4</v>
          </cell>
        </row>
        <row r="21">
          <cell r="D21" t="str">
            <v>RHS 80x50x1.2</v>
          </cell>
        </row>
        <row r="22">
          <cell r="D22" t="str">
            <v>RHS 80x50x1.6</v>
          </cell>
        </row>
        <row r="23">
          <cell r="D23" t="str">
            <v>RHS 80x50x2.0</v>
          </cell>
        </row>
        <row r="24">
          <cell r="D24" t="str">
            <v>SHS 38x38x1.6</v>
          </cell>
        </row>
        <row r="25">
          <cell r="D25" t="str">
            <v>RHS 180x60x1.6</v>
          </cell>
        </row>
        <row r="26">
          <cell r="D26" t="str">
            <v>RHS 180x60x2.0</v>
          </cell>
        </row>
      </sheetData>
      <sheetData sheetId="6">
        <row r="6">
          <cell r="B6" t="str">
            <v>C 36X21X1.2</v>
          </cell>
        </row>
        <row r="7">
          <cell r="B7" t="str">
            <v>C 36X21X1.5</v>
          </cell>
        </row>
        <row r="8">
          <cell r="B8" t="str">
            <v>C 34X34X2.0 [e34/17]</v>
          </cell>
        </row>
        <row r="9">
          <cell r="B9" t="str">
            <v>C 34X34X2.0 [e22.5/24]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A Solver"/>
      <sheetName val="Model 3D"/>
      <sheetName val="Input &amp; Calc"/>
      <sheetName val="UPRIGHT_MASTER"/>
      <sheetName val="BASE_STIFFNESS"/>
      <sheetName val="BEAM_MASTER"/>
      <sheetName val="BRACING_MASTER"/>
      <sheetName val="Combination Check"/>
    </sheetNames>
    <sheetDataSet>
      <sheetData sheetId="0">
        <row r="7">
          <cell r="D7">
            <v>2700</v>
          </cell>
        </row>
        <row r="8">
          <cell r="D8">
            <v>1000</v>
          </cell>
        </row>
        <row r="9">
          <cell r="D9">
            <v>1500</v>
          </cell>
        </row>
        <row r="10">
          <cell r="D10">
            <v>3</v>
          </cell>
        </row>
        <row r="11">
          <cell r="D11">
            <v>2000</v>
          </cell>
        </row>
        <row r="12">
          <cell r="D12">
            <v>1.4</v>
          </cell>
        </row>
        <row r="13">
          <cell r="D13">
            <v>200</v>
          </cell>
        </row>
        <row r="16">
          <cell r="D16">
            <v>3.18</v>
          </cell>
          <cell r="F16" t="str">
            <v>UP0002</v>
          </cell>
        </row>
        <row r="20">
          <cell r="D20">
            <v>35</v>
          </cell>
        </row>
        <row r="23">
          <cell r="F23" t="str">
            <v>RHS 112x50x1.6</v>
          </cell>
        </row>
        <row r="27">
          <cell r="D27">
            <v>165</v>
          </cell>
        </row>
        <row r="28">
          <cell r="D28">
            <v>31</v>
          </cell>
        </row>
        <row r="32">
          <cell r="D32" t="str">
            <v>X</v>
          </cell>
          <cell r="F32" t="str">
            <v>C 36X21X1.2</v>
          </cell>
        </row>
        <row r="33">
          <cell r="F33">
            <v>600</v>
          </cell>
        </row>
        <row r="46">
          <cell r="F46">
            <v>3.0670000000000002</v>
          </cell>
        </row>
        <row r="47">
          <cell r="F47">
            <v>1.484</v>
          </cell>
        </row>
        <row r="48">
          <cell r="D48">
            <v>42.884999999999998</v>
          </cell>
        </row>
        <row r="49">
          <cell r="D49">
            <v>106.965</v>
          </cell>
        </row>
        <row r="50">
          <cell r="D50">
            <v>23.367999999999999</v>
          </cell>
        </row>
        <row r="51">
          <cell r="D51">
            <v>375.62400000000002</v>
          </cell>
        </row>
        <row r="52">
          <cell r="D52">
            <v>125.925</v>
          </cell>
        </row>
        <row r="53">
          <cell r="D53">
            <v>2.1659999999999999</v>
          </cell>
        </row>
        <row r="54">
          <cell r="D54">
            <v>1.1331</v>
          </cell>
        </row>
        <row r="55">
          <cell r="D55">
            <v>0.57699999999999996</v>
          </cell>
        </row>
        <row r="58">
          <cell r="D58" t="b">
            <v>1</v>
          </cell>
        </row>
        <row r="128">
          <cell r="C128" t="str">
            <v>Yes</v>
          </cell>
        </row>
        <row r="129">
          <cell r="C129" t="str">
            <v>Yes</v>
          </cell>
        </row>
        <row r="130">
          <cell r="C130" t="str">
            <v>Semi-rigid</v>
          </cell>
        </row>
      </sheetData>
      <sheetData sheetId="1"/>
      <sheetData sheetId="2"/>
      <sheetData sheetId="3">
        <row r="6">
          <cell r="B6" t="str">
            <v>UP0002</v>
          </cell>
        </row>
        <row r="7">
          <cell r="B7" t="str">
            <v>UP0003</v>
          </cell>
        </row>
        <row r="8">
          <cell r="B8" t="str">
            <v>UP0004</v>
          </cell>
        </row>
        <row r="9">
          <cell r="B9" t="str">
            <v>UP0005</v>
          </cell>
        </row>
        <row r="10">
          <cell r="B10" t="str">
            <v>UP0006</v>
          </cell>
        </row>
        <row r="11">
          <cell r="B11" t="str">
            <v>UP0007</v>
          </cell>
        </row>
        <row r="12">
          <cell r="B12" t="str">
            <v>UP0008</v>
          </cell>
        </row>
        <row r="13">
          <cell r="B13" t="str">
            <v>UP0009</v>
          </cell>
        </row>
        <row r="14">
          <cell r="B14" t="str">
            <v>UP0010</v>
          </cell>
        </row>
        <row r="15">
          <cell r="B15" t="str">
            <v>UP0011</v>
          </cell>
        </row>
        <row r="16">
          <cell r="B16" t="str">
            <v>UP0012</v>
          </cell>
        </row>
        <row r="17">
          <cell r="B17" t="str">
            <v>UP0013</v>
          </cell>
        </row>
        <row r="18">
          <cell r="B18" t="str">
            <v>UP0014</v>
          </cell>
        </row>
        <row r="19">
          <cell r="B19" t="str">
            <v>UP0015</v>
          </cell>
        </row>
        <row r="20">
          <cell r="B20" t="str">
            <v>UP0016</v>
          </cell>
        </row>
        <row r="21">
          <cell r="B21" t="str">
            <v>UP0017</v>
          </cell>
        </row>
        <row r="22">
          <cell r="B22" t="str">
            <v>UP0018</v>
          </cell>
        </row>
        <row r="23">
          <cell r="B23" t="str">
            <v>UP0019</v>
          </cell>
        </row>
        <row r="24">
          <cell r="B24" t="str">
            <v>UP0020</v>
          </cell>
        </row>
        <row r="25">
          <cell r="B25" t="str">
            <v>UP0021</v>
          </cell>
        </row>
        <row r="26">
          <cell r="B26" t="str">
            <v>UP0022</v>
          </cell>
        </row>
        <row r="27">
          <cell r="B27" t="str">
            <v>UP0023</v>
          </cell>
        </row>
        <row r="28">
          <cell r="B28" t="str">
            <v>UP0024</v>
          </cell>
        </row>
        <row r="29">
          <cell r="B29" t="str">
            <v>UP0025</v>
          </cell>
        </row>
        <row r="30">
          <cell r="B30" t="str">
            <v>UP0026</v>
          </cell>
        </row>
      </sheetData>
      <sheetData sheetId="4"/>
      <sheetData sheetId="5">
        <row r="6">
          <cell r="D6" t="str">
            <v>RHS 60x40x1.2</v>
          </cell>
        </row>
        <row r="7">
          <cell r="D7" t="str">
            <v>RHS 60x40x1.6</v>
          </cell>
        </row>
        <row r="8">
          <cell r="D8" t="str">
            <v>RHS 80x40x1.2</v>
          </cell>
        </row>
        <row r="9">
          <cell r="D9" t="str">
            <v>RHS 80x40x1.6</v>
          </cell>
        </row>
        <row r="10">
          <cell r="D10" t="str">
            <v>RHS 80x40x2.0</v>
          </cell>
        </row>
        <row r="11">
          <cell r="D11" t="str">
            <v>RHS 100x50x1.2</v>
          </cell>
        </row>
        <row r="12">
          <cell r="D12" t="str">
            <v>RHS 100x50x1.6</v>
          </cell>
        </row>
        <row r="13">
          <cell r="D13" t="str">
            <v>RHS 100x50x2.0</v>
          </cell>
        </row>
        <row r="14">
          <cell r="D14" t="str">
            <v>RHS 112x50x1.6</v>
          </cell>
        </row>
        <row r="15">
          <cell r="D15" t="str">
            <v>RHS 112x50x2.0</v>
          </cell>
        </row>
        <row r="16">
          <cell r="D16" t="str">
            <v>RHS 122x61x1.6</v>
          </cell>
        </row>
        <row r="17">
          <cell r="D17" t="str">
            <v>RHS 122x61x2.0</v>
          </cell>
        </row>
        <row r="18">
          <cell r="D18" t="str">
            <v>RHS 145x50x1.6</v>
          </cell>
        </row>
        <row r="19">
          <cell r="D19" t="str">
            <v>RHS 145x50x2.0</v>
          </cell>
        </row>
        <row r="20">
          <cell r="D20" t="str">
            <v>RHS 122x61x1.4</v>
          </cell>
        </row>
        <row r="21">
          <cell r="D21" t="str">
            <v>RHS 80x50x1.2</v>
          </cell>
        </row>
        <row r="22">
          <cell r="D22" t="str">
            <v>RHS 80x50x1.6</v>
          </cell>
        </row>
        <row r="23">
          <cell r="D23" t="str">
            <v>RHS 80x50x2.0</v>
          </cell>
        </row>
        <row r="24">
          <cell r="D24" t="str">
            <v>SHS 38x38x1.6</v>
          </cell>
        </row>
        <row r="25">
          <cell r="D25" t="str">
            <v>RHS 180x60x1.6</v>
          </cell>
        </row>
        <row r="26">
          <cell r="D26" t="str">
            <v>RHS 180x60x2.0</v>
          </cell>
        </row>
      </sheetData>
      <sheetData sheetId="6">
        <row r="6">
          <cell r="B6" t="str">
            <v>C 36X21X1.2</v>
          </cell>
        </row>
        <row r="7">
          <cell r="B7" t="str">
            <v>C 36X21X1.5</v>
          </cell>
        </row>
        <row r="8">
          <cell r="B8" t="str">
            <v>C 34X34X2.0 [e34/17]</v>
          </cell>
        </row>
        <row r="9">
          <cell r="B9" t="str">
            <v>C 34X34X2.0 [e22.5/24]</v>
          </cell>
        </row>
      </sheetData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1C2E-2B8E-4ED0-ABA5-A07AA6CEC950}">
  <dimension ref="B2:R30"/>
  <sheetViews>
    <sheetView workbookViewId="0">
      <selection activeCell="F5" sqref="F5"/>
    </sheetView>
  </sheetViews>
  <sheetFormatPr defaultColWidth="8.6640625" defaultRowHeight="14.25" x14ac:dyDescent="0.45"/>
  <cols>
    <col min="1" max="1" width="3" customWidth="1"/>
    <col min="2" max="2" width="10" customWidth="1"/>
    <col min="3" max="3" width="24.265625" customWidth="1"/>
    <col min="4" max="4" width="5.9296875" bestFit="1" customWidth="1"/>
    <col min="5" max="5" width="5.796875" bestFit="1" customWidth="1"/>
    <col min="6" max="6" width="7.1328125" bestFit="1" customWidth="1"/>
    <col min="7" max="18" width="9" customWidth="1"/>
  </cols>
  <sheetData>
    <row r="2" spans="2:18" ht="18" x14ac:dyDescent="0.55000000000000004">
      <c r="B2" s="1" t="s">
        <v>0</v>
      </c>
    </row>
    <row r="3" spans="2:18" ht="15" customHeight="1" x14ac:dyDescent="0.45">
      <c r="B3" s="30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5" spans="2:18" ht="23.25" x14ac:dyDescent="0.45">
      <c r="B5" s="2" t="s">
        <v>2</v>
      </c>
      <c r="C5" s="2" t="s">
        <v>3</v>
      </c>
      <c r="D5" s="2" t="s">
        <v>89</v>
      </c>
      <c r="E5" s="2" t="s">
        <v>90</v>
      </c>
      <c r="F5" s="2" t="s">
        <v>91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100</v>
      </c>
      <c r="R5" s="2" t="s">
        <v>101</v>
      </c>
    </row>
    <row r="6" spans="2:18" x14ac:dyDescent="0.45">
      <c r="B6" s="3" t="s">
        <v>14</v>
      </c>
      <c r="C6" s="4" t="s">
        <v>15</v>
      </c>
      <c r="D6" s="4">
        <v>90</v>
      </c>
      <c r="E6" s="4">
        <v>61</v>
      </c>
      <c r="F6" s="4">
        <v>1.6</v>
      </c>
      <c r="G6" s="5">
        <v>3.18</v>
      </c>
      <c r="H6" s="5">
        <v>33.65</v>
      </c>
      <c r="I6" s="5">
        <v>10.59</v>
      </c>
      <c r="J6" s="5">
        <v>3.25</v>
      </c>
      <c r="K6" s="5">
        <v>1.82</v>
      </c>
      <c r="L6" s="5">
        <v>7.47</v>
      </c>
      <c r="M6" s="5">
        <v>2.65</v>
      </c>
      <c r="N6" s="6">
        <v>35</v>
      </c>
      <c r="O6" s="5">
        <v>9</v>
      </c>
      <c r="P6" s="5">
        <v>0.16</v>
      </c>
      <c r="Q6" s="5">
        <v>13.48</v>
      </c>
      <c r="R6" s="7">
        <v>12.39</v>
      </c>
    </row>
    <row r="7" spans="2:18" x14ac:dyDescent="0.45">
      <c r="B7" s="8" t="s">
        <v>16</v>
      </c>
      <c r="C7" s="9" t="s">
        <v>17</v>
      </c>
      <c r="D7" s="9">
        <v>90</v>
      </c>
      <c r="E7" s="9">
        <v>61</v>
      </c>
      <c r="F7" s="9">
        <v>1.6</v>
      </c>
      <c r="G7" s="10">
        <v>3.02</v>
      </c>
      <c r="H7" s="10">
        <v>30.1</v>
      </c>
      <c r="I7" s="10">
        <v>10.5</v>
      </c>
      <c r="J7" s="10">
        <v>3.16</v>
      </c>
      <c r="K7" s="10">
        <v>1.86</v>
      </c>
      <c r="L7" s="10">
        <v>6.68</v>
      </c>
      <c r="M7" s="10">
        <v>2.6</v>
      </c>
      <c r="N7" s="11">
        <v>35</v>
      </c>
      <c r="O7" s="10">
        <v>9</v>
      </c>
      <c r="P7" s="10">
        <v>0.16</v>
      </c>
      <c r="Q7" s="10">
        <v>13.48</v>
      </c>
      <c r="R7" s="12">
        <v>12.39</v>
      </c>
    </row>
    <row r="8" spans="2:18" x14ac:dyDescent="0.45">
      <c r="B8" s="3" t="s">
        <v>18</v>
      </c>
      <c r="C8" s="4" t="s">
        <v>19</v>
      </c>
      <c r="D8" s="4">
        <v>90</v>
      </c>
      <c r="E8" s="4">
        <v>61</v>
      </c>
      <c r="F8" s="4">
        <v>2</v>
      </c>
      <c r="G8" s="5">
        <v>3.96</v>
      </c>
      <c r="H8" s="5">
        <v>41.42</v>
      </c>
      <c r="I8" s="5">
        <v>13.07</v>
      </c>
      <c r="J8" s="5">
        <v>3.23</v>
      </c>
      <c r="K8" s="5">
        <v>1.82</v>
      </c>
      <c r="L8" s="5">
        <v>9.1999999999999993</v>
      </c>
      <c r="M8" s="5">
        <v>3.28</v>
      </c>
      <c r="N8" s="6">
        <v>35</v>
      </c>
      <c r="O8" s="5">
        <v>9</v>
      </c>
      <c r="P8" s="5">
        <v>0.2</v>
      </c>
      <c r="Q8" s="5">
        <v>13.48</v>
      </c>
      <c r="R8" s="7">
        <v>12.39</v>
      </c>
    </row>
    <row r="9" spans="2:18" x14ac:dyDescent="0.45">
      <c r="B9" s="8" t="s">
        <v>20</v>
      </c>
      <c r="C9" s="9" t="s">
        <v>21</v>
      </c>
      <c r="D9" s="9">
        <v>90</v>
      </c>
      <c r="E9" s="9">
        <v>61</v>
      </c>
      <c r="F9" s="9">
        <v>2</v>
      </c>
      <c r="G9" s="10">
        <v>3.76</v>
      </c>
      <c r="H9" s="10">
        <v>37.53</v>
      </c>
      <c r="I9" s="10">
        <v>12.95</v>
      </c>
      <c r="J9" s="10">
        <v>3.16</v>
      </c>
      <c r="K9" s="10">
        <v>1.85</v>
      </c>
      <c r="L9" s="10">
        <v>8.33</v>
      </c>
      <c r="M9" s="10">
        <v>3.28</v>
      </c>
      <c r="N9" s="11">
        <v>35</v>
      </c>
      <c r="O9" s="10">
        <v>9</v>
      </c>
      <c r="P9" s="10">
        <v>0.2</v>
      </c>
      <c r="Q9" s="10">
        <v>13.48</v>
      </c>
      <c r="R9" s="12">
        <v>12.39</v>
      </c>
    </row>
    <row r="10" spans="2:18" x14ac:dyDescent="0.45">
      <c r="B10" s="3" t="s">
        <v>22</v>
      </c>
      <c r="C10" s="4" t="s">
        <v>23</v>
      </c>
      <c r="D10" s="4">
        <v>120</v>
      </c>
      <c r="E10" s="4">
        <v>61</v>
      </c>
      <c r="F10" s="4">
        <v>1.6</v>
      </c>
      <c r="G10" s="5">
        <v>3.66</v>
      </c>
      <c r="H10" s="5">
        <v>69.47</v>
      </c>
      <c r="I10" s="5">
        <v>11.32</v>
      </c>
      <c r="J10" s="5">
        <v>4.3600000000000003</v>
      </c>
      <c r="K10" s="5">
        <v>1.76</v>
      </c>
      <c r="L10" s="5">
        <v>11.57</v>
      </c>
      <c r="M10" s="5">
        <v>2.72</v>
      </c>
      <c r="N10" s="6">
        <v>35</v>
      </c>
      <c r="O10" s="5">
        <v>12</v>
      </c>
      <c r="P10" s="5">
        <v>0.16</v>
      </c>
      <c r="Q10" s="5">
        <v>13.48</v>
      </c>
      <c r="R10" s="7">
        <v>12.39</v>
      </c>
    </row>
    <row r="11" spans="2:18" x14ac:dyDescent="0.45">
      <c r="B11" s="8" t="s">
        <v>24</v>
      </c>
      <c r="C11" s="9" t="s">
        <v>25</v>
      </c>
      <c r="D11" s="9">
        <v>120</v>
      </c>
      <c r="E11" s="9">
        <v>61</v>
      </c>
      <c r="F11" s="9">
        <v>1.6</v>
      </c>
      <c r="G11" s="10">
        <v>3.5</v>
      </c>
      <c r="H11" s="10">
        <v>63.85</v>
      </c>
      <c r="I11" s="10">
        <v>11.26</v>
      </c>
      <c r="J11" s="10">
        <v>4.2699999999999996</v>
      </c>
      <c r="K11" s="10">
        <v>1.79</v>
      </c>
      <c r="L11" s="10">
        <v>10.63</v>
      </c>
      <c r="M11" s="10">
        <v>2.72</v>
      </c>
      <c r="N11" s="11">
        <v>35</v>
      </c>
      <c r="O11" s="10">
        <v>12</v>
      </c>
      <c r="P11" s="10">
        <v>0.16</v>
      </c>
      <c r="Q11" s="10">
        <v>13.48</v>
      </c>
      <c r="R11" s="12">
        <v>12.39</v>
      </c>
    </row>
    <row r="12" spans="2:18" x14ac:dyDescent="0.45">
      <c r="B12" s="3" t="s">
        <v>26</v>
      </c>
      <c r="C12" s="4" t="s">
        <v>27</v>
      </c>
      <c r="D12" s="4">
        <v>120</v>
      </c>
      <c r="E12" s="4">
        <v>61</v>
      </c>
      <c r="F12" s="4">
        <v>2</v>
      </c>
      <c r="G12" s="5">
        <v>4.7300000000000004</v>
      </c>
      <c r="H12" s="5">
        <v>88.74</v>
      </c>
      <c r="I12" s="5">
        <v>14.52</v>
      </c>
      <c r="J12" s="5">
        <v>4.33</v>
      </c>
      <c r="K12" s="5">
        <v>1.75</v>
      </c>
      <c r="L12" s="5">
        <v>14.78</v>
      </c>
      <c r="M12" s="5">
        <v>3.44</v>
      </c>
      <c r="N12" s="6">
        <v>35</v>
      </c>
      <c r="O12" s="5">
        <v>12</v>
      </c>
      <c r="P12" s="5">
        <v>0.2</v>
      </c>
      <c r="Q12" s="5">
        <v>13.48</v>
      </c>
      <c r="R12" s="7">
        <v>12.39</v>
      </c>
    </row>
    <row r="13" spans="2:18" x14ac:dyDescent="0.45">
      <c r="B13" s="8" t="s">
        <v>28</v>
      </c>
      <c r="C13" s="9" t="s">
        <v>29</v>
      </c>
      <c r="D13" s="9">
        <v>120</v>
      </c>
      <c r="E13" s="9">
        <v>61</v>
      </c>
      <c r="F13" s="9">
        <v>2</v>
      </c>
      <c r="G13" s="10">
        <v>4.3600000000000003</v>
      </c>
      <c r="H13" s="10">
        <v>78.84</v>
      </c>
      <c r="I13" s="10">
        <v>13.9</v>
      </c>
      <c r="J13" s="10">
        <v>4.25</v>
      </c>
      <c r="K13" s="10">
        <v>1.78</v>
      </c>
      <c r="L13" s="10">
        <v>13.13</v>
      </c>
      <c r="M13" s="10">
        <v>3.37</v>
      </c>
      <c r="N13" s="11">
        <v>35</v>
      </c>
      <c r="O13" s="10">
        <v>12</v>
      </c>
      <c r="P13" s="10">
        <v>0.2</v>
      </c>
      <c r="Q13" s="10">
        <v>13.48</v>
      </c>
      <c r="R13" s="12">
        <v>12.39</v>
      </c>
    </row>
    <row r="14" spans="2:18" x14ac:dyDescent="0.45">
      <c r="B14" s="3" t="s">
        <v>30</v>
      </c>
      <c r="C14" s="4" t="s">
        <v>31</v>
      </c>
      <c r="D14" s="4">
        <v>90</v>
      </c>
      <c r="E14" s="4">
        <v>63</v>
      </c>
      <c r="F14" s="4">
        <v>1.6</v>
      </c>
      <c r="G14" s="5">
        <v>3.48</v>
      </c>
      <c r="H14" s="5">
        <v>35.17</v>
      </c>
      <c r="I14" s="5">
        <v>15.04</v>
      </c>
      <c r="J14" s="5">
        <v>3.18</v>
      </c>
      <c r="K14" s="5">
        <v>2.08</v>
      </c>
      <c r="L14" s="5">
        <v>7.81</v>
      </c>
      <c r="M14" s="5">
        <v>3.89</v>
      </c>
      <c r="N14" s="6">
        <v>35</v>
      </c>
      <c r="O14" s="5">
        <v>9</v>
      </c>
      <c r="P14" s="5">
        <v>0.16</v>
      </c>
      <c r="Q14" s="5">
        <v>13.22</v>
      </c>
      <c r="R14" s="7">
        <v>15.15</v>
      </c>
    </row>
    <row r="15" spans="2:18" x14ac:dyDescent="0.45">
      <c r="B15" s="8" t="s">
        <v>32</v>
      </c>
      <c r="C15" s="9" t="s">
        <v>33</v>
      </c>
      <c r="D15" s="9">
        <v>90</v>
      </c>
      <c r="E15" s="9">
        <v>63</v>
      </c>
      <c r="F15" s="9">
        <v>1.6</v>
      </c>
      <c r="G15" s="10">
        <v>3.26</v>
      </c>
      <c r="H15" s="10">
        <v>31.59</v>
      </c>
      <c r="I15" s="10">
        <v>14.5</v>
      </c>
      <c r="J15" s="10">
        <v>3.11</v>
      </c>
      <c r="K15" s="10">
        <v>2.11</v>
      </c>
      <c r="L15" s="10">
        <v>7.02</v>
      </c>
      <c r="M15" s="10">
        <v>3.8</v>
      </c>
      <c r="N15" s="11">
        <v>35</v>
      </c>
      <c r="O15" s="10">
        <v>9</v>
      </c>
      <c r="P15" s="10">
        <v>0.16</v>
      </c>
      <c r="Q15" s="10">
        <v>13.22</v>
      </c>
      <c r="R15" s="12">
        <v>15.15</v>
      </c>
    </row>
    <row r="16" spans="2:18" x14ac:dyDescent="0.45">
      <c r="B16" s="3" t="s">
        <v>34</v>
      </c>
      <c r="C16" s="4" t="s">
        <v>35</v>
      </c>
      <c r="D16" s="4">
        <v>90</v>
      </c>
      <c r="E16" s="4">
        <v>63</v>
      </c>
      <c r="F16" s="4">
        <v>2</v>
      </c>
      <c r="G16" s="5">
        <v>4.2699999999999996</v>
      </c>
      <c r="H16" s="5">
        <v>42.86</v>
      </c>
      <c r="I16" s="5">
        <v>18.39</v>
      </c>
      <c r="J16" s="5">
        <v>3.17</v>
      </c>
      <c r="K16" s="5">
        <v>2.08</v>
      </c>
      <c r="L16" s="5">
        <v>9.5299999999999994</v>
      </c>
      <c r="M16" s="5">
        <v>4.74</v>
      </c>
      <c r="N16" s="6">
        <v>35</v>
      </c>
      <c r="O16" s="5">
        <v>9</v>
      </c>
      <c r="P16" s="5">
        <v>0.2</v>
      </c>
      <c r="Q16" s="5">
        <v>13.22</v>
      </c>
      <c r="R16" s="7">
        <v>15.63</v>
      </c>
    </row>
    <row r="17" spans="2:18" x14ac:dyDescent="0.45">
      <c r="B17" s="8" t="s">
        <v>36</v>
      </c>
      <c r="C17" s="9" t="s">
        <v>37</v>
      </c>
      <c r="D17" s="9">
        <v>90</v>
      </c>
      <c r="E17" s="9">
        <v>63</v>
      </c>
      <c r="F17" s="9">
        <v>2</v>
      </c>
      <c r="G17" s="10">
        <v>4.07</v>
      </c>
      <c r="H17" s="10">
        <v>38.979999999999997</v>
      </c>
      <c r="I17" s="10">
        <v>18.149999999999999</v>
      </c>
      <c r="J17" s="10">
        <v>3.09</v>
      </c>
      <c r="K17" s="10">
        <v>2.11</v>
      </c>
      <c r="L17" s="10">
        <v>8.66</v>
      </c>
      <c r="M17" s="10">
        <v>4.74</v>
      </c>
      <c r="N17" s="11">
        <v>35</v>
      </c>
      <c r="O17" s="10">
        <v>9</v>
      </c>
      <c r="P17" s="10">
        <v>0.2</v>
      </c>
      <c r="Q17" s="10">
        <v>13.22</v>
      </c>
      <c r="R17" s="12">
        <v>15.63</v>
      </c>
    </row>
    <row r="18" spans="2:18" x14ac:dyDescent="0.45">
      <c r="B18" s="3" t="s">
        <v>38</v>
      </c>
      <c r="C18" s="4" t="s">
        <v>39</v>
      </c>
      <c r="D18" s="4">
        <v>90</v>
      </c>
      <c r="E18" s="4">
        <v>63</v>
      </c>
      <c r="F18" s="4">
        <v>2.5</v>
      </c>
      <c r="G18" s="5">
        <v>5.34</v>
      </c>
      <c r="H18" s="5">
        <v>52.73</v>
      </c>
      <c r="I18" s="5">
        <v>23.04</v>
      </c>
      <c r="J18" s="5">
        <v>3.14</v>
      </c>
      <c r="K18" s="5">
        <v>2.08</v>
      </c>
      <c r="L18" s="5">
        <v>11.72</v>
      </c>
      <c r="M18" s="5">
        <v>5.91</v>
      </c>
      <c r="N18" s="6">
        <v>35</v>
      </c>
      <c r="O18" s="5">
        <v>9</v>
      </c>
      <c r="P18" s="5">
        <v>0.25</v>
      </c>
      <c r="Q18" s="5">
        <v>13.22</v>
      </c>
      <c r="R18" s="7">
        <v>16.16</v>
      </c>
    </row>
    <row r="19" spans="2:18" x14ac:dyDescent="0.45">
      <c r="B19" s="8" t="s">
        <v>40</v>
      </c>
      <c r="C19" s="9" t="s">
        <v>41</v>
      </c>
      <c r="D19" s="9">
        <v>90</v>
      </c>
      <c r="E19" s="9">
        <v>63</v>
      </c>
      <c r="F19" s="9">
        <v>2.5</v>
      </c>
      <c r="G19" s="10">
        <v>5.09</v>
      </c>
      <c r="H19" s="10">
        <v>47.93</v>
      </c>
      <c r="I19" s="10">
        <v>22.72</v>
      </c>
      <c r="J19" s="10">
        <v>3.07</v>
      </c>
      <c r="K19" s="10">
        <v>2.11</v>
      </c>
      <c r="L19" s="10">
        <v>10.65</v>
      </c>
      <c r="M19" s="10">
        <v>5.91</v>
      </c>
      <c r="N19" s="11">
        <v>35</v>
      </c>
      <c r="O19" s="10">
        <v>9</v>
      </c>
      <c r="P19" s="10">
        <v>0.25</v>
      </c>
      <c r="Q19" s="10">
        <v>13.22</v>
      </c>
      <c r="R19" s="12">
        <v>16.16</v>
      </c>
    </row>
    <row r="20" spans="2:18" x14ac:dyDescent="0.45">
      <c r="B20" s="3" t="s">
        <v>42</v>
      </c>
      <c r="C20" s="4" t="s">
        <v>43</v>
      </c>
      <c r="D20" s="4">
        <v>120</v>
      </c>
      <c r="E20" s="4">
        <v>63</v>
      </c>
      <c r="F20" s="4">
        <v>1.6</v>
      </c>
      <c r="G20" s="5">
        <v>3.9</v>
      </c>
      <c r="H20" s="5">
        <v>73.37</v>
      </c>
      <c r="I20" s="5">
        <v>15.8</v>
      </c>
      <c r="J20" s="5">
        <v>4.34</v>
      </c>
      <c r="K20" s="5">
        <v>2.0099999999999998</v>
      </c>
      <c r="L20" s="5">
        <v>12.19</v>
      </c>
      <c r="M20" s="5">
        <v>3.89</v>
      </c>
      <c r="N20" s="6">
        <v>35</v>
      </c>
      <c r="O20" s="5">
        <v>12</v>
      </c>
      <c r="P20" s="5">
        <v>0.16</v>
      </c>
      <c r="Q20" s="5">
        <v>13.22</v>
      </c>
      <c r="R20" s="7">
        <v>15.15</v>
      </c>
    </row>
    <row r="21" spans="2:18" x14ac:dyDescent="0.45">
      <c r="B21" s="8" t="s">
        <v>44</v>
      </c>
      <c r="C21" s="9" t="s">
        <v>45</v>
      </c>
      <c r="D21" s="9">
        <v>120</v>
      </c>
      <c r="E21" s="9">
        <v>63</v>
      </c>
      <c r="F21" s="9">
        <v>1.6</v>
      </c>
      <c r="G21" s="10">
        <v>3.74</v>
      </c>
      <c r="H21" s="10">
        <v>67.709999999999994</v>
      </c>
      <c r="I21" s="10">
        <v>15.68</v>
      </c>
      <c r="J21" s="10">
        <v>4.25</v>
      </c>
      <c r="K21" s="10">
        <v>2.0499999999999998</v>
      </c>
      <c r="L21" s="10">
        <v>11.25</v>
      </c>
      <c r="M21" s="10">
        <v>3.89</v>
      </c>
      <c r="N21" s="11">
        <v>35</v>
      </c>
      <c r="O21" s="10">
        <v>12</v>
      </c>
      <c r="P21" s="10">
        <v>0.16</v>
      </c>
      <c r="Q21" s="10">
        <v>13.22</v>
      </c>
      <c r="R21" s="12">
        <v>15.15</v>
      </c>
    </row>
    <row r="22" spans="2:18" x14ac:dyDescent="0.45">
      <c r="B22" s="3" t="s">
        <v>46</v>
      </c>
      <c r="C22" s="4" t="s">
        <v>47</v>
      </c>
      <c r="D22" s="4">
        <v>120</v>
      </c>
      <c r="E22" s="4">
        <v>63</v>
      </c>
      <c r="F22" s="4">
        <v>2</v>
      </c>
      <c r="G22" s="5">
        <v>4.87</v>
      </c>
      <c r="H22" s="5">
        <v>90.18</v>
      </c>
      <c r="I22" s="5">
        <v>19.78</v>
      </c>
      <c r="J22" s="5">
        <v>4.3</v>
      </c>
      <c r="K22" s="5">
        <v>2.02</v>
      </c>
      <c r="L22" s="5">
        <v>15.03</v>
      </c>
      <c r="M22" s="5">
        <v>4.8499999999999996</v>
      </c>
      <c r="N22" s="6">
        <v>35</v>
      </c>
      <c r="O22" s="5">
        <v>12</v>
      </c>
      <c r="P22" s="5">
        <v>0.2</v>
      </c>
      <c r="Q22" s="5">
        <v>13.22</v>
      </c>
      <c r="R22" s="7">
        <v>15.63</v>
      </c>
    </row>
    <row r="23" spans="2:18" x14ac:dyDescent="0.45">
      <c r="B23" s="8" t="s">
        <v>48</v>
      </c>
      <c r="C23" s="9" t="s">
        <v>49</v>
      </c>
      <c r="D23" s="9">
        <v>120</v>
      </c>
      <c r="E23" s="9">
        <v>63</v>
      </c>
      <c r="F23" s="9">
        <v>2</v>
      </c>
      <c r="G23" s="10">
        <v>4.67</v>
      </c>
      <c r="H23" s="10">
        <v>83.19</v>
      </c>
      <c r="I23" s="10">
        <v>19.62</v>
      </c>
      <c r="J23" s="10">
        <v>4.22</v>
      </c>
      <c r="K23" s="10">
        <v>2.0499999999999998</v>
      </c>
      <c r="L23" s="10">
        <v>13.87</v>
      </c>
      <c r="M23" s="10">
        <v>4.8499999999999996</v>
      </c>
      <c r="N23" s="11">
        <v>35</v>
      </c>
      <c r="O23" s="10">
        <v>12</v>
      </c>
      <c r="P23" s="10">
        <v>0.2</v>
      </c>
      <c r="Q23" s="10">
        <v>13.22</v>
      </c>
      <c r="R23" s="12">
        <v>15.63</v>
      </c>
    </row>
    <row r="24" spans="2:18" x14ac:dyDescent="0.45">
      <c r="B24" s="3" t="s">
        <v>50</v>
      </c>
      <c r="C24" s="4" t="s">
        <v>51</v>
      </c>
      <c r="D24" s="4">
        <v>120</v>
      </c>
      <c r="E24" s="4">
        <v>63</v>
      </c>
      <c r="F24" s="4">
        <v>2.5</v>
      </c>
      <c r="G24" s="5">
        <v>6.09</v>
      </c>
      <c r="H24" s="5">
        <v>111.51</v>
      </c>
      <c r="I24" s="5">
        <v>24.79</v>
      </c>
      <c r="J24" s="5">
        <v>4.28</v>
      </c>
      <c r="K24" s="5">
        <v>2.02</v>
      </c>
      <c r="L24" s="5">
        <v>18.579999999999998</v>
      </c>
      <c r="M24" s="5">
        <v>6.05</v>
      </c>
      <c r="N24" s="6">
        <v>35</v>
      </c>
      <c r="O24" s="5">
        <v>12</v>
      </c>
      <c r="P24" s="5">
        <v>0.25</v>
      </c>
      <c r="Q24" s="5">
        <v>13.22</v>
      </c>
      <c r="R24" s="7">
        <v>16.16</v>
      </c>
    </row>
    <row r="25" spans="2:18" x14ac:dyDescent="0.45">
      <c r="B25" s="8" t="s">
        <v>52</v>
      </c>
      <c r="C25" s="9" t="s">
        <v>53</v>
      </c>
      <c r="D25" s="9">
        <v>120</v>
      </c>
      <c r="E25" s="9">
        <v>63</v>
      </c>
      <c r="F25" s="9">
        <v>2.5</v>
      </c>
      <c r="G25" s="10">
        <v>5.84</v>
      </c>
      <c r="H25" s="10">
        <v>102.85</v>
      </c>
      <c r="I25" s="10">
        <v>24.57</v>
      </c>
      <c r="J25" s="10">
        <v>4.2</v>
      </c>
      <c r="K25" s="10">
        <v>2.0499999999999998</v>
      </c>
      <c r="L25" s="10">
        <v>17.14</v>
      </c>
      <c r="M25" s="10">
        <v>6.05</v>
      </c>
      <c r="N25" s="11">
        <v>35</v>
      </c>
      <c r="O25" s="10">
        <v>12</v>
      </c>
      <c r="P25" s="10">
        <v>0.25</v>
      </c>
      <c r="Q25" s="10">
        <v>13.22</v>
      </c>
      <c r="R25" s="12">
        <v>16.16</v>
      </c>
    </row>
    <row r="26" spans="2:18" x14ac:dyDescent="0.45">
      <c r="B26" s="3" t="s">
        <v>54</v>
      </c>
      <c r="C26" s="4" t="s">
        <v>55</v>
      </c>
      <c r="D26" s="4">
        <v>120</v>
      </c>
      <c r="E26" s="4">
        <v>107</v>
      </c>
      <c r="F26" s="4">
        <v>2</v>
      </c>
      <c r="G26" s="5">
        <v>7.02</v>
      </c>
      <c r="H26" s="5">
        <v>124.73</v>
      </c>
      <c r="I26" s="5">
        <v>83.35</v>
      </c>
      <c r="J26" s="5">
        <v>4.21</v>
      </c>
      <c r="K26" s="5">
        <v>3.44</v>
      </c>
      <c r="L26" s="5">
        <v>20.79</v>
      </c>
      <c r="M26" s="5">
        <v>12.94</v>
      </c>
      <c r="N26" s="6">
        <v>35</v>
      </c>
      <c r="O26" s="5">
        <v>12</v>
      </c>
      <c r="P26" s="5">
        <v>0.2</v>
      </c>
      <c r="Q26" s="5">
        <v>15</v>
      </c>
      <c r="R26" s="7">
        <v>20</v>
      </c>
    </row>
    <row r="27" spans="2:18" x14ac:dyDescent="0.45">
      <c r="B27" s="8" t="s">
        <v>56</v>
      </c>
      <c r="C27" s="9" t="s">
        <v>57</v>
      </c>
      <c r="D27" s="9">
        <v>120</v>
      </c>
      <c r="E27" s="9">
        <v>107</v>
      </c>
      <c r="F27" s="9">
        <v>2.2999999999999998</v>
      </c>
      <c r="G27" s="10">
        <v>8.08</v>
      </c>
      <c r="H27" s="10">
        <v>142.4</v>
      </c>
      <c r="I27" s="10">
        <v>95.85</v>
      </c>
      <c r="J27" s="10">
        <v>4.2</v>
      </c>
      <c r="K27" s="10">
        <v>3.44</v>
      </c>
      <c r="L27" s="10">
        <v>23.73</v>
      </c>
      <c r="M27" s="10">
        <v>14.85</v>
      </c>
      <c r="N27" s="11">
        <v>35</v>
      </c>
      <c r="O27" s="10">
        <v>12</v>
      </c>
      <c r="P27" s="10">
        <v>0.23</v>
      </c>
      <c r="Q27" s="10">
        <v>15</v>
      </c>
      <c r="R27" s="12">
        <v>20</v>
      </c>
    </row>
    <row r="28" spans="2:18" x14ac:dyDescent="0.45">
      <c r="B28" s="3" t="s">
        <v>58</v>
      </c>
      <c r="C28" s="4" t="s">
        <v>59</v>
      </c>
      <c r="D28" s="4">
        <v>120</v>
      </c>
      <c r="E28" s="4">
        <v>107</v>
      </c>
      <c r="F28" s="4">
        <v>2.5</v>
      </c>
      <c r="G28" s="5">
        <v>8.7799999999999994</v>
      </c>
      <c r="H28" s="5">
        <v>154.02000000000001</v>
      </c>
      <c r="I28" s="5">
        <v>104.19</v>
      </c>
      <c r="J28" s="5">
        <v>4.1900000000000004</v>
      </c>
      <c r="K28" s="5">
        <v>3.44</v>
      </c>
      <c r="L28" s="5">
        <v>25.67</v>
      </c>
      <c r="M28" s="5">
        <v>16.12</v>
      </c>
      <c r="N28" s="6">
        <v>35</v>
      </c>
      <c r="O28" s="5">
        <v>12</v>
      </c>
      <c r="P28" s="5">
        <v>0.25</v>
      </c>
      <c r="Q28" s="5">
        <v>15</v>
      </c>
      <c r="R28" s="7">
        <v>20</v>
      </c>
    </row>
    <row r="29" spans="2:18" x14ac:dyDescent="0.45">
      <c r="B29" s="8" t="s">
        <v>60</v>
      </c>
      <c r="C29" s="9" t="s">
        <v>61</v>
      </c>
      <c r="D29" s="9">
        <v>120</v>
      </c>
      <c r="E29" s="9">
        <v>107</v>
      </c>
      <c r="F29" s="9">
        <v>3</v>
      </c>
      <c r="G29" s="10">
        <v>10.54</v>
      </c>
      <c r="H29" s="10">
        <v>182.56</v>
      </c>
      <c r="I29" s="10">
        <v>125.04</v>
      </c>
      <c r="J29" s="10">
        <v>4.16</v>
      </c>
      <c r="K29" s="10">
        <v>3.45</v>
      </c>
      <c r="L29" s="10">
        <v>30.43</v>
      </c>
      <c r="M29" s="10">
        <v>19.29</v>
      </c>
      <c r="N29" s="11">
        <v>35</v>
      </c>
      <c r="O29" s="10">
        <v>12</v>
      </c>
      <c r="P29" s="10">
        <v>0.3</v>
      </c>
      <c r="Q29" s="10">
        <v>15</v>
      </c>
      <c r="R29" s="12">
        <v>20</v>
      </c>
    </row>
    <row r="30" spans="2:18" x14ac:dyDescent="0.45">
      <c r="B30" s="3" t="s">
        <v>62</v>
      </c>
      <c r="C30" s="4" t="s">
        <v>63</v>
      </c>
      <c r="D30" s="4">
        <v>120</v>
      </c>
      <c r="E30" s="4">
        <v>107</v>
      </c>
      <c r="F30" s="4">
        <v>3.5</v>
      </c>
      <c r="G30" s="5">
        <v>12.29</v>
      </c>
      <c r="H30" s="5">
        <v>210.37</v>
      </c>
      <c r="I30" s="5">
        <v>145.9</v>
      </c>
      <c r="J30" s="5">
        <v>4.1399999999999997</v>
      </c>
      <c r="K30" s="5">
        <v>3.45</v>
      </c>
      <c r="L30" s="5">
        <v>35.06</v>
      </c>
      <c r="M30" s="5">
        <v>22.45</v>
      </c>
      <c r="N30" s="6">
        <v>35</v>
      </c>
      <c r="O30" s="5">
        <v>12</v>
      </c>
      <c r="P30" s="5">
        <v>0.35</v>
      </c>
      <c r="Q30" s="5">
        <v>15</v>
      </c>
      <c r="R30" s="7">
        <v>20</v>
      </c>
    </row>
  </sheetData>
  <mergeCells count="1">
    <mergeCell ref="B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6968-4A6A-48E2-9FD1-DE8E8150E6E4}">
  <dimension ref="B2:K26"/>
  <sheetViews>
    <sheetView zoomScale="85" zoomScaleNormal="85" workbookViewId="0">
      <selection activeCell="C1" sqref="C1:C1048576"/>
    </sheetView>
  </sheetViews>
  <sheetFormatPr defaultColWidth="8.6640625" defaultRowHeight="15" customHeight="1" x14ac:dyDescent="0.45"/>
  <cols>
    <col min="1" max="1" width="3" customWidth="1"/>
    <col min="2" max="2" width="5" customWidth="1"/>
    <col min="3" max="3" width="16" customWidth="1"/>
    <col min="4" max="4" width="6.86328125" bestFit="1" customWidth="1"/>
    <col min="5" max="5" width="6.6640625" bestFit="1" customWidth="1"/>
    <col min="6" max="6" width="6.19921875" bestFit="1" customWidth="1"/>
    <col min="7" max="11" width="12" customWidth="1"/>
  </cols>
  <sheetData>
    <row r="2" spans="2:11" ht="18" x14ac:dyDescent="0.55000000000000004">
      <c r="B2" s="1" t="s">
        <v>64</v>
      </c>
    </row>
    <row r="3" spans="2:11" ht="21.75" customHeight="1" x14ac:dyDescent="0.45">
      <c r="B3" s="23" t="s">
        <v>65</v>
      </c>
      <c r="C3" s="23"/>
      <c r="D3" s="23"/>
      <c r="E3" s="23"/>
      <c r="F3" s="23"/>
      <c r="G3" s="23"/>
      <c r="H3" s="23"/>
      <c r="I3" s="23"/>
      <c r="J3" s="23"/>
      <c r="K3" s="23"/>
    </row>
    <row r="5" spans="2:11" ht="22.15" x14ac:dyDescent="0.45">
      <c r="B5" s="13" t="s">
        <v>66</v>
      </c>
      <c r="C5" s="20" t="s">
        <v>92</v>
      </c>
      <c r="D5" s="20" t="s">
        <v>97</v>
      </c>
      <c r="E5" s="20" t="s">
        <v>98</v>
      </c>
      <c r="F5" s="20" t="s">
        <v>99</v>
      </c>
      <c r="G5" s="20" t="s">
        <v>93</v>
      </c>
      <c r="H5" s="20" t="s">
        <v>94</v>
      </c>
      <c r="I5" s="20" t="s">
        <v>95</v>
      </c>
      <c r="J5" s="20" t="s">
        <v>96</v>
      </c>
      <c r="K5" s="13" t="s">
        <v>67</v>
      </c>
    </row>
    <row r="6" spans="2:11" ht="15" customHeight="1" x14ac:dyDescent="0.45">
      <c r="B6" s="14">
        <v>1</v>
      </c>
      <c r="C6" s="15" t="s">
        <v>71</v>
      </c>
      <c r="D6" s="15">
        <v>60</v>
      </c>
      <c r="E6" s="15">
        <v>40</v>
      </c>
      <c r="F6" s="15">
        <v>1.2</v>
      </c>
      <c r="G6" s="21">
        <v>11.64</v>
      </c>
      <c r="H6" s="21">
        <v>3.88</v>
      </c>
      <c r="I6" s="21">
        <v>27</v>
      </c>
      <c r="J6" s="16">
        <f>H6*I6</f>
        <v>104.75999999999999</v>
      </c>
      <c r="K6" s="16">
        <v>254415</v>
      </c>
    </row>
    <row r="7" spans="2:11" ht="15" customHeight="1" x14ac:dyDescent="0.45">
      <c r="B7" s="17">
        <v>2</v>
      </c>
      <c r="C7" s="18" t="s">
        <v>72</v>
      </c>
      <c r="D7" s="18">
        <v>60</v>
      </c>
      <c r="E7" s="18">
        <v>40</v>
      </c>
      <c r="F7" s="18">
        <v>1.6</v>
      </c>
      <c r="G7" s="22">
        <v>15.21</v>
      </c>
      <c r="H7" s="22">
        <v>5.07</v>
      </c>
      <c r="I7" s="22">
        <v>27</v>
      </c>
      <c r="J7" s="19">
        <v>136.89000000000001</v>
      </c>
      <c r="K7" s="19">
        <v>331728</v>
      </c>
    </row>
    <row r="8" spans="2:11" ht="15" customHeight="1" x14ac:dyDescent="0.45">
      <c r="B8" s="14">
        <v>3</v>
      </c>
      <c r="C8" s="15" t="s">
        <v>73</v>
      </c>
      <c r="D8" s="15">
        <v>80</v>
      </c>
      <c r="E8" s="15">
        <v>40</v>
      </c>
      <c r="F8" s="15">
        <v>1.2</v>
      </c>
      <c r="G8" s="21">
        <v>23.39</v>
      </c>
      <c r="H8" s="21">
        <v>5.83</v>
      </c>
      <c r="I8" s="21">
        <v>27</v>
      </c>
      <c r="J8" s="16">
        <v>157.41</v>
      </c>
      <c r="K8" s="16">
        <v>509114</v>
      </c>
    </row>
    <row r="9" spans="2:11" ht="15" customHeight="1" x14ac:dyDescent="0.45">
      <c r="B9" s="17">
        <v>4</v>
      </c>
      <c r="C9" s="18" t="s">
        <v>74</v>
      </c>
      <c r="D9" s="18">
        <v>80</v>
      </c>
      <c r="E9" s="18">
        <v>40</v>
      </c>
      <c r="F9" s="18">
        <v>1.6</v>
      </c>
      <c r="G9" s="22">
        <v>30.7</v>
      </c>
      <c r="H9" s="22">
        <v>7.67</v>
      </c>
      <c r="I9" s="22">
        <v>27</v>
      </c>
      <c r="J9" s="19">
        <v>207.09</v>
      </c>
      <c r="K9" s="19">
        <v>666639</v>
      </c>
    </row>
    <row r="10" spans="2:11" ht="15" customHeight="1" x14ac:dyDescent="0.45">
      <c r="B10" s="14">
        <v>5</v>
      </c>
      <c r="C10" s="15" t="s">
        <v>75</v>
      </c>
      <c r="D10" s="15">
        <v>80</v>
      </c>
      <c r="E10" s="15">
        <v>40</v>
      </c>
      <c r="F10" s="15">
        <v>2</v>
      </c>
      <c r="G10" s="21">
        <v>37.770000000000003</v>
      </c>
      <c r="H10" s="21">
        <v>9.44</v>
      </c>
      <c r="I10" s="21">
        <v>27</v>
      </c>
      <c r="J10" s="16">
        <v>254.88</v>
      </c>
      <c r="K10" s="16">
        <v>818307</v>
      </c>
    </row>
    <row r="11" spans="2:11" ht="15" customHeight="1" x14ac:dyDescent="0.45">
      <c r="B11" s="17">
        <v>6</v>
      </c>
      <c r="C11" s="18" t="s">
        <v>76</v>
      </c>
      <c r="D11" s="18">
        <v>100</v>
      </c>
      <c r="E11" s="18">
        <v>50</v>
      </c>
      <c r="F11" s="18">
        <v>1.2</v>
      </c>
      <c r="G11" s="22">
        <v>46.54</v>
      </c>
      <c r="H11" s="22">
        <v>9.31</v>
      </c>
      <c r="I11" s="22">
        <v>27</v>
      </c>
      <c r="J11" s="19">
        <v>251.37</v>
      </c>
      <c r="K11" s="19">
        <v>1005354</v>
      </c>
    </row>
    <row r="12" spans="2:11" ht="15" customHeight="1" x14ac:dyDescent="0.45">
      <c r="B12" s="14">
        <v>7</v>
      </c>
      <c r="C12" s="15" t="s">
        <v>77</v>
      </c>
      <c r="D12" s="15">
        <v>100</v>
      </c>
      <c r="E12" s="15">
        <v>50</v>
      </c>
      <c r="F12" s="15">
        <v>1.6</v>
      </c>
      <c r="G12" s="21">
        <v>61.27</v>
      </c>
      <c r="H12" s="21">
        <v>12.25</v>
      </c>
      <c r="I12" s="21">
        <v>31</v>
      </c>
      <c r="J12" s="16">
        <v>379.75</v>
      </c>
      <c r="K12" s="16">
        <v>1321210</v>
      </c>
    </row>
    <row r="13" spans="2:11" ht="15" customHeight="1" x14ac:dyDescent="0.45">
      <c r="B13" s="17">
        <v>8</v>
      </c>
      <c r="C13" s="18" t="s">
        <v>78</v>
      </c>
      <c r="D13" s="18">
        <v>100</v>
      </c>
      <c r="E13" s="18">
        <v>50</v>
      </c>
      <c r="F13" s="18">
        <v>2</v>
      </c>
      <c r="G13" s="22">
        <v>75.63</v>
      </c>
      <c r="H13" s="22">
        <v>15.13</v>
      </c>
      <c r="I13" s="22">
        <v>27</v>
      </c>
      <c r="J13" s="19">
        <v>408.51000000000005</v>
      </c>
      <c r="K13" s="19">
        <v>1627731</v>
      </c>
    </row>
    <row r="14" spans="2:11" ht="15" customHeight="1" x14ac:dyDescent="0.45">
      <c r="B14" s="14">
        <v>9</v>
      </c>
      <c r="C14" s="15" t="s">
        <v>79</v>
      </c>
      <c r="D14" s="15">
        <v>112</v>
      </c>
      <c r="E14" s="15">
        <v>50</v>
      </c>
      <c r="F14" s="15">
        <v>1.6</v>
      </c>
      <c r="G14" s="21">
        <v>81.03</v>
      </c>
      <c r="H14" s="21">
        <v>14.47</v>
      </c>
      <c r="I14" s="21">
        <v>31</v>
      </c>
      <c r="J14" s="16">
        <v>448.57</v>
      </c>
      <c r="K14" s="16">
        <v>1744970</v>
      </c>
    </row>
    <row r="15" spans="2:11" ht="15" customHeight="1" x14ac:dyDescent="0.45">
      <c r="B15" s="17">
        <v>10</v>
      </c>
      <c r="C15" s="18" t="s">
        <v>80</v>
      </c>
      <c r="D15" s="18">
        <v>112</v>
      </c>
      <c r="E15" s="18">
        <v>50</v>
      </c>
      <c r="F15" s="18">
        <v>2</v>
      </c>
      <c r="G15" s="22">
        <v>100.13</v>
      </c>
      <c r="H15" s="22">
        <v>17.88</v>
      </c>
      <c r="I15" s="22">
        <v>27</v>
      </c>
      <c r="J15" s="19">
        <v>482.76</v>
      </c>
      <c r="K15" s="19">
        <v>2152294</v>
      </c>
    </row>
    <row r="16" spans="2:11" ht="15" customHeight="1" x14ac:dyDescent="0.45">
      <c r="B16" s="14">
        <v>11</v>
      </c>
      <c r="C16" s="15" t="s">
        <v>81</v>
      </c>
      <c r="D16" s="15">
        <v>122</v>
      </c>
      <c r="E16" s="15">
        <v>61</v>
      </c>
      <c r="F16" s="15">
        <v>1.6</v>
      </c>
      <c r="G16" s="21">
        <v>113</v>
      </c>
      <c r="H16" s="21">
        <v>18.52</v>
      </c>
      <c r="I16" s="21">
        <v>31</v>
      </c>
      <c r="J16" s="16">
        <v>574.12</v>
      </c>
      <c r="K16" s="16">
        <v>2424454</v>
      </c>
    </row>
    <row r="17" spans="2:11" ht="15" customHeight="1" x14ac:dyDescent="0.45">
      <c r="B17" s="17">
        <v>12</v>
      </c>
      <c r="C17" s="18" t="s">
        <v>82</v>
      </c>
      <c r="D17" s="18">
        <v>122</v>
      </c>
      <c r="E17" s="18">
        <v>61</v>
      </c>
      <c r="F17" s="18">
        <v>2</v>
      </c>
      <c r="G17" s="22">
        <v>139.80000000000001</v>
      </c>
      <c r="H17" s="22">
        <v>22.92</v>
      </c>
      <c r="I17" s="22">
        <v>27</v>
      </c>
      <c r="J17" s="19">
        <v>618.84</v>
      </c>
      <c r="K17" s="19">
        <v>2994789</v>
      </c>
    </row>
    <row r="18" spans="2:11" ht="15" customHeight="1" x14ac:dyDescent="0.45">
      <c r="B18" s="14">
        <v>13</v>
      </c>
      <c r="C18" s="15" t="s">
        <v>83</v>
      </c>
      <c r="D18" s="15">
        <v>145</v>
      </c>
      <c r="E18" s="15">
        <v>50</v>
      </c>
      <c r="F18" s="15">
        <v>1.6</v>
      </c>
      <c r="G18" s="21">
        <v>154.82</v>
      </c>
      <c r="H18" s="21">
        <v>21.35</v>
      </c>
      <c r="I18" s="21">
        <v>27</v>
      </c>
      <c r="J18" s="16">
        <v>576.45000000000005</v>
      </c>
      <c r="K18" s="16">
        <v>3323947</v>
      </c>
    </row>
    <row r="19" spans="2:11" ht="15" customHeight="1" x14ac:dyDescent="0.45">
      <c r="B19" s="17">
        <v>14</v>
      </c>
      <c r="C19" s="18" t="s">
        <v>84</v>
      </c>
      <c r="D19" s="18">
        <v>145</v>
      </c>
      <c r="E19" s="18">
        <v>50</v>
      </c>
      <c r="F19" s="18">
        <v>2</v>
      </c>
      <c r="G19" s="22">
        <v>191.72</v>
      </c>
      <c r="H19" s="22">
        <v>26.44</v>
      </c>
      <c r="I19" s="22">
        <v>27</v>
      </c>
      <c r="J19" s="19">
        <v>713.88</v>
      </c>
      <c r="K19" s="19">
        <v>4109395</v>
      </c>
    </row>
    <row r="20" spans="2:11" ht="15" customHeight="1" x14ac:dyDescent="0.45">
      <c r="B20" s="14">
        <v>15</v>
      </c>
      <c r="C20" s="15" t="s">
        <v>85</v>
      </c>
      <c r="D20" s="15">
        <v>122</v>
      </c>
      <c r="E20" s="15">
        <v>61</v>
      </c>
      <c r="F20" s="15">
        <v>1.4</v>
      </c>
      <c r="G20" s="21">
        <v>99.38</v>
      </c>
      <c r="H20" s="21">
        <v>16.29</v>
      </c>
      <c r="I20" s="21">
        <v>35</v>
      </c>
      <c r="J20" s="16">
        <v>570.15</v>
      </c>
      <c r="K20" s="16">
        <v>2134015</v>
      </c>
    </row>
    <row r="21" spans="2:11" ht="15" customHeight="1" x14ac:dyDescent="0.45">
      <c r="B21" s="17">
        <v>16</v>
      </c>
      <c r="C21" s="18" t="s">
        <v>86</v>
      </c>
      <c r="D21" s="18">
        <v>80</v>
      </c>
      <c r="E21" s="18">
        <v>50</v>
      </c>
      <c r="F21" s="18">
        <v>1.2</v>
      </c>
      <c r="G21" s="22">
        <v>27.11</v>
      </c>
      <c r="H21" s="22">
        <v>6.78</v>
      </c>
      <c r="I21" s="22">
        <v>27</v>
      </c>
      <c r="J21" s="19">
        <v>183.06</v>
      </c>
      <c r="K21" s="19">
        <v>587359</v>
      </c>
    </row>
    <row r="22" spans="2:11" ht="15" customHeight="1" x14ac:dyDescent="0.45">
      <c r="B22" s="14">
        <v>17</v>
      </c>
      <c r="C22" s="15" t="s">
        <v>87</v>
      </c>
      <c r="D22" s="15">
        <v>80</v>
      </c>
      <c r="E22" s="15">
        <v>50</v>
      </c>
      <c r="F22" s="15">
        <v>1.6</v>
      </c>
      <c r="G22" s="21">
        <v>35.61</v>
      </c>
      <c r="H22" s="21">
        <v>8.9</v>
      </c>
      <c r="I22" s="21">
        <v>31</v>
      </c>
      <c r="J22" s="16">
        <v>275.90000000000003</v>
      </c>
      <c r="K22" s="16">
        <v>769915</v>
      </c>
    </row>
    <row r="23" spans="2:11" ht="15" customHeight="1" x14ac:dyDescent="0.45">
      <c r="B23" s="17">
        <v>18</v>
      </c>
      <c r="C23" s="18" t="s">
        <v>88</v>
      </c>
      <c r="D23" s="18">
        <v>80</v>
      </c>
      <c r="E23" s="18">
        <v>50</v>
      </c>
      <c r="F23" s="18">
        <v>2</v>
      </c>
      <c r="G23" s="22">
        <v>43.85</v>
      </c>
      <c r="H23" s="22">
        <v>10.96</v>
      </c>
      <c r="I23" s="22">
        <v>27</v>
      </c>
      <c r="J23" s="19">
        <v>295.92</v>
      </c>
      <c r="K23" s="19">
        <v>946099</v>
      </c>
    </row>
    <row r="24" spans="2:11" ht="14.25" x14ac:dyDescent="0.45">
      <c r="B24" s="14">
        <v>19</v>
      </c>
      <c r="C24" s="15" t="s">
        <v>68</v>
      </c>
      <c r="D24" s="15">
        <v>38</v>
      </c>
      <c r="E24" s="15">
        <v>38</v>
      </c>
      <c r="F24" s="15">
        <v>1.6</v>
      </c>
      <c r="G24" s="21">
        <v>4.92</v>
      </c>
      <c r="H24" s="21">
        <v>2.59</v>
      </c>
      <c r="I24" s="21">
        <v>27</v>
      </c>
      <c r="J24" s="16">
        <v>69.929999999999993</v>
      </c>
      <c r="K24" s="16">
        <v>108102</v>
      </c>
    </row>
    <row r="25" spans="2:11" ht="14.25" x14ac:dyDescent="0.45">
      <c r="B25" s="17">
        <v>20</v>
      </c>
      <c r="C25" s="18" t="s">
        <v>69</v>
      </c>
      <c r="D25" s="18">
        <v>180</v>
      </c>
      <c r="E25" s="18">
        <v>60</v>
      </c>
      <c r="F25" s="18">
        <v>1.6</v>
      </c>
      <c r="G25" s="22">
        <v>294.79000000000002</v>
      </c>
      <c r="H25" s="22">
        <v>32.75</v>
      </c>
      <c r="I25" s="22">
        <v>35</v>
      </c>
      <c r="J25" s="19">
        <v>1146.25</v>
      </c>
      <c r="K25" s="19">
        <v>6302880</v>
      </c>
    </row>
    <row r="26" spans="2:11" ht="14.25" x14ac:dyDescent="0.45">
      <c r="B26" s="14">
        <v>21</v>
      </c>
      <c r="C26" s="15" t="s">
        <v>70</v>
      </c>
      <c r="D26" s="15">
        <v>180</v>
      </c>
      <c r="E26" s="15">
        <v>60</v>
      </c>
      <c r="F26" s="15">
        <v>2</v>
      </c>
      <c r="G26" s="21">
        <v>365.71</v>
      </c>
      <c r="H26" s="21">
        <v>40.630000000000003</v>
      </c>
      <c r="I26" s="21">
        <v>35</v>
      </c>
      <c r="J26" s="16">
        <v>1422.0500000000002</v>
      </c>
      <c r="K26" s="16">
        <v>7808451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54FD-DAB2-466A-88BF-DC458625BF35}">
  <dimension ref="A1:E16"/>
  <sheetViews>
    <sheetView workbookViewId="0">
      <selection activeCell="C17" sqref="C17"/>
    </sheetView>
  </sheetViews>
  <sheetFormatPr defaultRowHeight="14.25" x14ac:dyDescent="0.45"/>
  <cols>
    <col min="1" max="1" width="29.3984375" bestFit="1" customWidth="1"/>
    <col min="2" max="2" width="10" bestFit="1" customWidth="1"/>
    <col min="3" max="3" width="10.9296875" bestFit="1" customWidth="1"/>
    <col min="4" max="5" width="10" bestFit="1" customWidth="1"/>
  </cols>
  <sheetData>
    <row r="1" spans="1:5" x14ac:dyDescent="0.45">
      <c r="A1" s="24" t="s">
        <v>102</v>
      </c>
      <c r="B1" s="24" t="s">
        <v>119</v>
      </c>
      <c r="C1" s="24" t="s">
        <v>120</v>
      </c>
      <c r="D1" s="24" t="s">
        <v>103</v>
      </c>
      <c r="E1" s="24" t="s">
        <v>103</v>
      </c>
    </row>
    <row r="2" spans="1:5" x14ac:dyDescent="0.45">
      <c r="A2" s="25" t="s">
        <v>104</v>
      </c>
      <c r="B2" s="26">
        <v>0.77</v>
      </c>
      <c r="C2" s="26">
        <v>1.02</v>
      </c>
      <c r="D2" s="26">
        <v>2.36</v>
      </c>
      <c r="E2" s="26">
        <v>1.74</v>
      </c>
    </row>
    <row r="3" spans="1:5" x14ac:dyDescent="0.45">
      <c r="A3" s="24" t="s">
        <v>105</v>
      </c>
      <c r="B3" s="26">
        <v>1.59</v>
      </c>
      <c r="C3" s="26">
        <v>1.9219999999999999</v>
      </c>
      <c r="D3" s="26">
        <v>4.37</v>
      </c>
      <c r="E3" s="26">
        <v>4.37</v>
      </c>
    </row>
    <row r="4" spans="1:5" x14ac:dyDescent="0.45">
      <c r="A4" s="24" t="s">
        <v>106</v>
      </c>
      <c r="B4" s="26">
        <v>0.54</v>
      </c>
      <c r="C4" s="26">
        <v>0.63</v>
      </c>
      <c r="D4" s="26">
        <v>3.83</v>
      </c>
      <c r="E4" s="26">
        <v>3.83</v>
      </c>
    </row>
    <row r="5" spans="1:5" x14ac:dyDescent="0.45">
      <c r="A5" s="24" t="s">
        <v>107</v>
      </c>
      <c r="B5" s="26">
        <v>1.43</v>
      </c>
      <c r="C5" s="26">
        <v>1.43</v>
      </c>
      <c r="D5" s="26">
        <f>SQRT(D3/D2)</f>
        <v>1.3607699714699166</v>
      </c>
      <c r="E5" s="26">
        <f>SQRT(E3/E2)</f>
        <v>1.5847694636361351</v>
      </c>
    </row>
    <row r="6" spans="1:5" ht="15" x14ac:dyDescent="0.45">
      <c r="A6" s="24" t="s">
        <v>108</v>
      </c>
      <c r="B6" s="26">
        <v>0.84</v>
      </c>
      <c r="C6" s="26">
        <v>0.82</v>
      </c>
      <c r="D6" s="26">
        <f>SQRT(D4/D2)</f>
        <v>1.2739236067881792</v>
      </c>
      <c r="E6" s="26">
        <f>SQRT(E4/E2)</f>
        <v>1.4836271180075391</v>
      </c>
    </row>
    <row r="7" spans="1:5" x14ac:dyDescent="0.45">
      <c r="A7" s="24" t="s">
        <v>109</v>
      </c>
      <c r="B7" s="26">
        <v>0.88</v>
      </c>
      <c r="C7" s="27">
        <v>1.06</v>
      </c>
      <c r="D7" s="26">
        <v>2.57</v>
      </c>
      <c r="E7" s="26">
        <v>2.57</v>
      </c>
    </row>
    <row r="8" spans="1:5" x14ac:dyDescent="0.45">
      <c r="A8" s="24" t="s">
        <v>110</v>
      </c>
      <c r="B8" s="26">
        <v>0.43</v>
      </c>
      <c r="C8" s="27">
        <v>0.5</v>
      </c>
      <c r="D8" s="26">
        <v>2.4500000000000002</v>
      </c>
      <c r="E8" s="26">
        <v>2.4500000000000002</v>
      </c>
    </row>
    <row r="9" spans="1:5" ht="15" x14ac:dyDescent="0.45">
      <c r="A9" s="24" t="s">
        <v>111</v>
      </c>
      <c r="B9" s="28">
        <v>3.7200000000000002E-3</v>
      </c>
      <c r="C9" s="28">
        <v>6.8999999999999999E-3</v>
      </c>
      <c r="D9" s="28">
        <v>0.03</v>
      </c>
      <c r="E9" s="28">
        <v>0.03</v>
      </c>
    </row>
    <row r="10" spans="1:5" ht="15" x14ac:dyDescent="0.45">
      <c r="A10" s="24" t="s">
        <v>112</v>
      </c>
      <c r="B10" s="24">
        <v>1.73</v>
      </c>
      <c r="C10" s="24">
        <v>1.67</v>
      </c>
      <c r="D10" s="24">
        <v>3.35</v>
      </c>
      <c r="E10" s="24">
        <v>3.35</v>
      </c>
    </row>
    <row r="11" spans="1:5" ht="15" x14ac:dyDescent="0.45">
      <c r="A11" s="24" t="s">
        <v>113</v>
      </c>
      <c r="B11" s="26">
        <v>2.0270000000000001</v>
      </c>
      <c r="C11" s="27">
        <v>2.2989999999999999</v>
      </c>
      <c r="D11" s="26">
        <v>16.2</v>
      </c>
      <c r="E11" s="26">
        <v>16.2</v>
      </c>
    </row>
    <row r="12" spans="1:5" ht="15" x14ac:dyDescent="0.45">
      <c r="A12" s="24" t="s">
        <v>114</v>
      </c>
      <c r="B12" s="29">
        <v>27</v>
      </c>
      <c r="C12" s="29">
        <v>27</v>
      </c>
      <c r="D12" s="29">
        <v>35</v>
      </c>
      <c r="E12" s="29">
        <v>35</v>
      </c>
    </row>
    <row r="13" spans="1:5" ht="15" x14ac:dyDescent="0.45">
      <c r="A13" s="24" t="s">
        <v>115</v>
      </c>
      <c r="B13" s="24">
        <v>35</v>
      </c>
      <c r="C13" s="24">
        <v>35</v>
      </c>
      <c r="D13" s="24">
        <v>49</v>
      </c>
      <c r="E13" s="24">
        <v>49</v>
      </c>
    </row>
    <row r="14" spans="1:5" x14ac:dyDescent="0.45">
      <c r="A14" s="24" t="s">
        <v>116</v>
      </c>
      <c r="B14" s="24">
        <v>1.2</v>
      </c>
      <c r="C14" s="24">
        <v>1.5</v>
      </c>
      <c r="D14" s="24">
        <v>2</v>
      </c>
      <c r="E14" s="24">
        <v>2</v>
      </c>
    </row>
    <row r="15" spans="1:5" x14ac:dyDescent="0.45">
      <c r="A15" s="24" t="s">
        <v>117</v>
      </c>
      <c r="B15" s="24">
        <v>18</v>
      </c>
      <c r="C15" s="24">
        <v>18</v>
      </c>
      <c r="D15" s="24">
        <v>34</v>
      </c>
      <c r="E15" s="24">
        <v>22.5</v>
      </c>
    </row>
    <row r="16" spans="1:5" x14ac:dyDescent="0.45">
      <c r="A16" s="24" t="s">
        <v>118</v>
      </c>
      <c r="B16" s="24">
        <v>18</v>
      </c>
      <c r="C16" s="24">
        <v>18</v>
      </c>
      <c r="D16" s="24">
        <v>17</v>
      </c>
      <c r="E16" s="24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F605-92CE-442C-BDEA-A5C3708E1009}">
  <sheetPr>
    <pageSetUpPr fitToPage="1"/>
  </sheetPr>
  <dimension ref="B2:F282"/>
  <sheetViews>
    <sheetView showGridLines="0" tabSelected="1" topLeftCell="A226" zoomScaleNormal="100" workbookViewId="0">
      <selection activeCell="A283" sqref="A283"/>
    </sheetView>
  </sheetViews>
  <sheetFormatPr defaultColWidth="8.73046875" defaultRowHeight="15" customHeight="1" x14ac:dyDescent="0.45"/>
  <cols>
    <col min="1" max="1" width="2.9296875" style="33" customWidth="1"/>
    <col min="2" max="2" width="22.06640625" style="33" customWidth="1"/>
    <col min="3" max="3" width="14.9296875" style="33" customWidth="1"/>
    <col min="4" max="5" width="16" style="33" customWidth="1"/>
    <col min="6" max="6" width="30" style="33" customWidth="1"/>
    <col min="7" max="16384" width="8.73046875" style="33"/>
  </cols>
  <sheetData>
    <row r="2" spans="2:6" ht="24" customHeight="1" x14ac:dyDescent="0.45">
      <c r="B2" s="31" t="s">
        <v>121</v>
      </c>
      <c r="C2" s="32"/>
      <c r="D2" s="32"/>
      <c r="E2" s="32"/>
      <c r="F2" s="32"/>
    </row>
    <row r="3" spans="2:6" ht="27.75" customHeight="1" x14ac:dyDescent="0.45">
      <c r="B3" s="34" t="s">
        <v>122</v>
      </c>
      <c r="C3" s="32"/>
      <c r="D3" s="32"/>
      <c r="E3" s="32"/>
      <c r="F3" s="32"/>
    </row>
    <row r="5" spans="2:6" ht="15" customHeight="1" x14ac:dyDescent="0.45">
      <c r="B5" s="35" t="s">
        <v>14</v>
      </c>
      <c r="C5" s="36" t="s">
        <v>15</v>
      </c>
      <c r="D5" s="32"/>
      <c r="E5" s="32"/>
      <c r="F5" s="32"/>
    </row>
    <row r="6" spans="2:6" ht="15" customHeight="1" x14ac:dyDescent="0.45">
      <c r="B6" s="37" t="s">
        <v>123</v>
      </c>
      <c r="C6" s="37" t="s">
        <v>124</v>
      </c>
      <c r="D6" s="37" t="s">
        <v>125</v>
      </c>
      <c r="E6" s="37" t="s">
        <v>126</v>
      </c>
    </row>
    <row r="7" spans="2:6" ht="15" customHeight="1" x14ac:dyDescent="0.45">
      <c r="B7" s="38">
        <v>30</v>
      </c>
      <c r="C7" s="39">
        <v>1823.1979856999999</v>
      </c>
      <c r="D7" s="40">
        <v>141.524837421429</v>
      </c>
      <c r="E7" s="41">
        <v>7.7624502951110702E-2</v>
      </c>
    </row>
    <row r="8" spans="2:6" ht="15" customHeight="1" x14ac:dyDescent="0.45">
      <c r="B8" s="38">
        <v>40</v>
      </c>
      <c r="C8" s="39">
        <v>3470.2669921500001</v>
      </c>
      <c r="D8" s="40">
        <v>172.708687421429</v>
      </c>
      <c r="E8" s="41">
        <v>4.9768126721116399E-2</v>
      </c>
    </row>
    <row r="9" spans="2:6" ht="15" customHeight="1" x14ac:dyDescent="0.45">
      <c r="B9" s="38">
        <v>50</v>
      </c>
      <c r="C9" s="39">
        <v>5117.3359985999996</v>
      </c>
      <c r="D9" s="40">
        <v>193.056465992857</v>
      </c>
      <c r="E9" s="41">
        <v>3.7725970318476902E-2</v>
      </c>
    </row>
    <row r="10" spans="2:6" ht="15" customHeight="1" x14ac:dyDescent="0.45">
      <c r="B10" s="38">
        <v>60</v>
      </c>
      <c r="C10" s="39">
        <v>6764.40500505</v>
      </c>
      <c r="D10" s="40">
        <v>202.56817313571401</v>
      </c>
      <c r="E10" s="41">
        <v>2.9946192308781899E-2</v>
      </c>
    </row>
    <row r="11" spans="2:6" ht="14.25" customHeight="1" x14ac:dyDescent="0.45"/>
    <row r="12" spans="2:6" ht="15" customHeight="1" x14ac:dyDescent="0.45">
      <c r="B12" s="35" t="s">
        <v>16</v>
      </c>
      <c r="C12" s="36" t="s">
        <v>17</v>
      </c>
      <c r="D12" s="32"/>
      <c r="E12" s="32"/>
      <c r="F12" s="32"/>
    </row>
    <row r="13" spans="2:6" ht="15" customHeight="1" x14ac:dyDescent="0.45">
      <c r="B13" s="37" t="s">
        <v>123</v>
      </c>
      <c r="C13" s="37" t="s">
        <v>124</v>
      </c>
      <c r="D13" s="37" t="s">
        <v>125</v>
      </c>
      <c r="E13" s="37" t="s">
        <v>126</v>
      </c>
    </row>
    <row r="14" spans="2:6" ht="15" customHeight="1" x14ac:dyDescent="0.45">
      <c r="B14" s="38">
        <v>30</v>
      </c>
      <c r="C14" s="39">
        <v>1630.8546618</v>
      </c>
      <c r="D14" s="40">
        <v>143.32725797142899</v>
      </c>
      <c r="E14" s="41">
        <v>8.7884752288861806E-2</v>
      </c>
    </row>
    <row r="15" spans="2:6" ht="15" customHeight="1" x14ac:dyDescent="0.45">
      <c r="B15" s="38">
        <v>40</v>
      </c>
      <c r="C15" s="39">
        <v>3104.1615591</v>
      </c>
      <c r="D15" s="40">
        <v>174.511107971429</v>
      </c>
      <c r="E15" s="41">
        <v>5.62184360088607E-2</v>
      </c>
    </row>
    <row r="16" spans="2:6" ht="15" customHeight="1" x14ac:dyDescent="0.45">
      <c r="B16" s="38">
        <v>50</v>
      </c>
      <c r="C16" s="39">
        <v>4577.4684563999999</v>
      </c>
      <c r="D16" s="40">
        <v>194.85888654285699</v>
      </c>
      <c r="E16" s="41">
        <v>4.2569138028775398E-2</v>
      </c>
    </row>
    <row r="17" spans="2:6" ht="15" customHeight="1" x14ac:dyDescent="0.45">
      <c r="B17" s="38">
        <v>60</v>
      </c>
      <c r="C17" s="39">
        <v>6050.7753536999999</v>
      </c>
      <c r="D17" s="40">
        <v>204.370593685714</v>
      </c>
      <c r="E17" s="41">
        <v>3.3775934775159597E-2</v>
      </c>
    </row>
    <row r="18" spans="2:6" ht="14.25" customHeight="1" x14ac:dyDescent="0.45"/>
    <row r="19" spans="2:6" ht="15" customHeight="1" x14ac:dyDescent="0.45">
      <c r="B19" s="35" t="s">
        <v>18</v>
      </c>
      <c r="C19" s="36" t="s">
        <v>19</v>
      </c>
      <c r="D19" s="32"/>
      <c r="E19" s="32"/>
      <c r="F19" s="32"/>
    </row>
    <row r="20" spans="2:6" ht="15" customHeight="1" x14ac:dyDescent="0.45">
      <c r="B20" s="37" t="s">
        <v>123</v>
      </c>
      <c r="C20" s="37" t="s">
        <v>124</v>
      </c>
      <c r="D20" s="37" t="s">
        <v>125</v>
      </c>
      <c r="E20" s="37" t="s">
        <v>126</v>
      </c>
    </row>
    <row r="21" spans="2:6" ht="15" customHeight="1" x14ac:dyDescent="0.45">
      <c r="B21" s="38">
        <v>30</v>
      </c>
      <c r="C21" s="39">
        <v>2244.1860495599999</v>
      </c>
      <c r="D21" s="40">
        <v>147.330228857143</v>
      </c>
      <c r="E21" s="41">
        <v>6.5649739194318907E-2</v>
      </c>
    </row>
    <row r="22" spans="2:6" ht="15" customHeight="1" x14ac:dyDescent="0.45">
      <c r="B22" s="38">
        <v>40</v>
      </c>
      <c r="C22" s="39">
        <v>4271.5738132200004</v>
      </c>
      <c r="D22" s="40">
        <v>186.09932885714301</v>
      </c>
      <c r="E22" s="41">
        <v>4.3566923338931397E-2</v>
      </c>
    </row>
    <row r="23" spans="2:6" ht="15" customHeight="1" x14ac:dyDescent="0.45">
      <c r="B23" s="38">
        <v>50</v>
      </c>
      <c r="C23" s="39">
        <v>6298.9615768800004</v>
      </c>
      <c r="D23" s="40">
        <v>216.19957171428601</v>
      </c>
      <c r="E23" s="41">
        <v>3.4323049771860001E-2</v>
      </c>
    </row>
    <row r="24" spans="2:6" ht="15" customHeight="1" x14ac:dyDescent="0.45">
      <c r="B24" s="38">
        <v>60</v>
      </c>
      <c r="C24" s="39">
        <v>8326.3493405400004</v>
      </c>
      <c r="D24" s="40">
        <v>237.63095742857101</v>
      </c>
      <c r="E24" s="41">
        <v>2.8539633362676099E-2</v>
      </c>
    </row>
    <row r="25" spans="2:6" ht="15" customHeight="1" x14ac:dyDescent="0.45">
      <c r="B25" s="38">
        <v>70</v>
      </c>
      <c r="C25" s="39">
        <v>10353.7371042</v>
      </c>
      <c r="D25" s="40">
        <v>250.393486</v>
      </c>
      <c r="E25" s="41">
        <v>2.41838752017789E-2</v>
      </c>
    </row>
    <row r="26" spans="2:6" ht="15" customHeight="1" x14ac:dyDescent="0.45">
      <c r="B26" s="38">
        <v>80</v>
      </c>
      <c r="C26" s="39">
        <v>12381.12486786</v>
      </c>
      <c r="D26" s="40">
        <v>254.48715742857101</v>
      </c>
      <c r="E26" s="41">
        <v>2.05544455891234E-2</v>
      </c>
    </row>
    <row r="27" spans="2:6" ht="14.25" customHeight="1" x14ac:dyDescent="0.45"/>
    <row r="28" spans="2:6" ht="15" customHeight="1" x14ac:dyDescent="0.45">
      <c r="B28" s="35" t="s">
        <v>20</v>
      </c>
      <c r="C28" s="36" t="s">
        <v>21</v>
      </c>
      <c r="D28" s="32"/>
      <c r="E28" s="32"/>
      <c r="F28" s="32"/>
    </row>
    <row r="29" spans="2:6" ht="15" customHeight="1" x14ac:dyDescent="0.45">
      <c r="B29" s="37" t="s">
        <v>123</v>
      </c>
      <c r="C29" s="37" t="s">
        <v>124</v>
      </c>
      <c r="D29" s="37" t="s">
        <v>125</v>
      </c>
      <c r="E29" s="37" t="s">
        <v>126</v>
      </c>
    </row>
    <row r="30" spans="2:6" ht="15" customHeight="1" x14ac:dyDescent="0.45">
      <c r="B30" s="38">
        <v>30</v>
      </c>
      <c r="C30" s="39">
        <v>2033.4211115400001</v>
      </c>
      <c r="D30" s="40">
        <v>149.31517300714299</v>
      </c>
      <c r="E30" s="41">
        <v>7.3430521675886401E-2</v>
      </c>
    </row>
    <row r="31" spans="2:6" ht="15" customHeight="1" x14ac:dyDescent="0.45">
      <c r="B31" s="38">
        <v>40</v>
      </c>
      <c r="C31" s="39">
        <v>3870.4047612300001</v>
      </c>
      <c r="D31" s="40">
        <v>188.084273007143</v>
      </c>
      <c r="E31" s="41">
        <v>4.85955047624968E-2</v>
      </c>
    </row>
    <row r="32" spans="2:6" ht="15" customHeight="1" x14ac:dyDescent="0.45">
      <c r="B32" s="38">
        <v>50</v>
      </c>
      <c r="C32" s="39">
        <v>5707.3884109199998</v>
      </c>
      <c r="D32" s="40">
        <v>218.184515864286</v>
      </c>
      <c r="E32" s="41">
        <v>3.8228433068762502E-2</v>
      </c>
    </row>
    <row r="33" spans="2:6" ht="15" customHeight="1" x14ac:dyDescent="0.45">
      <c r="B33" s="38">
        <v>60</v>
      </c>
      <c r="C33" s="39">
        <v>7544.3720606099996</v>
      </c>
      <c r="D33" s="40">
        <v>239.615901578571</v>
      </c>
      <c r="E33" s="41">
        <v>3.1760880780208701E-2</v>
      </c>
    </row>
    <row r="34" spans="2:6" ht="15" customHeight="1" x14ac:dyDescent="0.45">
      <c r="B34" s="38">
        <v>70</v>
      </c>
      <c r="C34" s="39">
        <v>9381.3557103000003</v>
      </c>
      <c r="D34" s="40">
        <v>252.37843015000001</v>
      </c>
      <c r="E34" s="41">
        <v>2.6902127788727598E-2</v>
      </c>
    </row>
    <row r="35" spans="2:6" ht="15" customHeight="1" x14ac:dyDescent="0.45">
      <c r="B35" s="38">
        <v>80</v>
      </c>
      <c r="C35" s="39">
        <v>11218.339359989999</v>
      </c>
      <c r="D35" s="40">
        <v>256.47210157857103</v>
      </c>
      <c r="E35" s="41">
        <v>2.2861859794799402E-2</v>
      </c>
    </row>
    <row r="36" spans="2:6" ht="14.25" customHeight="1" x14ac:dyDescent="0.45"/>
    <row r="37" spans="2:6" ht="15" customHeight="1" x14ac:dyDescent="0.45">
      <c r="B37" s="35" t="s">
        <v>22</v>
      </c>
      <c r="C37" s="36" t="s">
        <v>23</v>
      </c>
      <c r="D37" s="32"/>
      <c r="E37" s="32"/>
      <c r="F37" s="32"/>
    </row>
    <row r="38" spans="2:6" ht="15" customHeight="1" x14ac:dyDescent="0.45">
      <c r="B38" s="37" t="s">
        <v>123</v>
      </c>
      <c r="C38" s="37" t="s">
        <v>124</v>
      </c>
      <c r="D38" s="37" t="s">
        <v>125</v>
      </c>
      <c r="E38" s="37" t="s">
        <v>126</v>
      </c>
    </row>
    <row r="39" spans="2:6" ht="15" customHeight="1" x14ac:dyDescent="0.45">
      <c r="B39" s="38">
        <v>30</v>
      </c>
      <c r="C39" s="39">
        <v>3763.9692144599999</v>
      </c>
      <c r="D39" s="40">
        <v>201.28060292142899</v>
      </c>
      <c r="E39" s="41">
        <v>5.3475624122580799E-2</v>
      </c>
    </row>
    <row r="40" spans="2:6" ht="15" customHeight="1" x14ac:dyDescent="0.45">
      <c r="B40" s="38">
        <v>40</v>
      </c>
      <c r="C40" s="39">
        <v>7164.3223757699998</v>
      </c>
      <c r="D40" s="40">
        <v>255.501152921429</v>
      </c>
      <c r="E40" s="41">
        <v>3.5662989396672402E-2</v>
      </c>
    </row>
    <row r="41" spans="2:6" ht="15" customHeight="1" x14ac:dyDescent="0.45">
      <c r="B41" s="38">
        <v>50</v>
      </c>
      <c r="C41" s="39">
        <v>10564.67553708</v>
      </c>
      <c r="D41" s="40">
        <v>298.88563149285699</v>
      </c>
      <c r="E41" s="41">
        <v>2.8291037471413601E-2</v>
      </c>
    </row>
    <row r="42" spans="2:6" ht="15" customHeight="1" x14ac:dyDescent="0.45">
      <c r="B42" s="38">
        <v>60</v>
      </c>
      <c r="C42" s="39">
        <v>13965.02869839</v>
      </c>
      <c r="D42" s="40">
        <v>331.43403863571399</v>
      </c>
      <c r="E42" s="41">
        <v>2.3733144112616501E-2</v>
      </c>
    </row>
    <row r="43" spans="2:6" ht="15" customHeight="1" x14ac:dyDescent="0.45">
      <c r="B43" s="38">
        <v>70</v>
      </c>
      <c r="C43" s="39">
        <v>17365.381859699999</v>
      </c>
      <c r="D43" s="40">
        <v>353.14637434999997</v>
      </c>
      <c r="E43" s="41">
        <v>2.03362285496036E-2</v>
      </c>
    </row>
    <row r="44" spans="2:6" ht="15" customHeight="1" x14ac:dyDescent="0.45">
      <c r="B44" s="38">
        <v>80</v>
      </c>
      <c r="C44" s="39">
        <v>20765.735021010001</v>
      </c>
      <c r="D44" s="40">
        <v>364.02263863571397</v>
      </c>
      <c r="E44" s="41">
        <v>1.7529966469638999E-2</v>
      </c>
    </row>
    <row r="45" spans="2:6" ht="15" customHeight="1" x14ac:dyDescent="0.45">
      <c r="B45" s="38">
        <v>90</v>
      </c>
      <c r="C45" s="39">
        <v>24166.08818232</v>
      </c>
      <c r="D45" s="40">
        <v>364.06283149285701</v>
      </c>
      <c r="E45" s="41">
        <v>1.5065029505239001E-2</v>
      </c>
    </row>
    <row r="46" spans="2:6" ht="14.25" customHeight="1" x14ac:dyDescent="0.45"/>
    <row r="47" spans="2:6" ht="15" customHeight="1" x14ac:dyDescent="0.45">
      <c r="B47" s="35" t="s">
        <v>24</v>
      </c>
      <c r="C47" s="36" t="s">
        <v>25</v>
      </c>
      <c r="D47" s="32"/>
      <c r="E47" s="32"/>
      <c r="F47" s="32"/>
    </row>
    <row r="48" spans="2:6" ht="15" customHeight="1" x14ac:dyDescent="0.45">
      <c r="B48" s="37" t="s">
        <v>123</v>
      </c>
      <c r="C48" s="37" t="s">
        <v>124</v>
      </c>
      <c r="D48" s="37" t="s">
        <v>125</v>
      </c>
      <c r="E48" s="37" t="s">
        <v>126</v>
      </c>
    </row>
    <row r="49" spans="2:6" ht="15" customHeight="1" x14ac:dyDescent="0.45">
      <c r="B49" s="38">
        <v>30</v>
      </c>
      <c r="C49" s="39">
        <v>3459.4707693</v>
      </c>
      <c r="D49" s="40">
        <v>203.42525522142901</v>
      </c>
      <c r="E49" s="41">
        <v>5.8802420597584698E-2</v>
      </c>
    </row>
    <row r="50" spans="2:6" ht="15" customHeight="1" x14ac:dyDescent="0.45">
      <c r="B50" s="38">
        <v>40</v>
      </c>
      <c r="C50" s="39">
        <v>6584.7413803500003</v>
      </c>
      <c r="D50" s="40">
        <v>257.64580522142899</v>
      </c>
      <c r="E50" s="41">
        <v>3.9127703024189803E-2</v>
      </c>
    </row>
    <row r="51" spans="2:6" ht="15" customHeight="1" x14ac:dyDescent="0.45">
      <c r="B51" s="38">
        <v>50</v>
      </c>
      <c r="C51" s="39">
        <v>9710.0119914000006</v>
      </c>
      <c r="D51" s="40">
        <v>301.03028379285701</v>
      </c>
      <c r="E51" s="41">
        <v>3.1002050673003798E-2</v>
      </c>
    </row>
    <row r="52" spans="2:6" ht="15" customHeight="1" x14ac:dyDescent="0.45">
      <c r="B52" s="38">
        <v>60</v>
      </c>
      <c r="C52" s="39">
        <v>12835.282602449999</v>
      </c>
      <c r="D52" s="40">
        <v>333.57869093571401</v>
      </c>
      <c r="E52" s="41">
        <v>2.5989197220483599E-2</v>
      </c>
    </row>
    <row r="53" spans="2:6" ht="15" customHeight="1" x14ac:dyDescent="0.45">
      <c r="B53" s="38">
        <v>70</v>
      </c>
      <c r="C53" s="39">
        <v>15960.553213499999</v>
      </c>
      <c r="D53" s="40">
        <v>355.29102664999999</v>
      </c>
      <c r="E53" s="41">
        <v>2.2260570914890501E-2</v>
      </c>
    </row>
    <row r="54" spans="2:6" ht="15" customHeight="1" x14ac:dyDescent="0.45">
      <c r="B54" s="38">
        <v>80</v>
      </c>
      <c r="C54" s="39">
        <v>19085.82382455</v>
      </c>
      <c r="D54" s="40">
        <v>366.16729093571399</v>
      </c>
      <c r="E54" s="41">
        <v>1.9185301839825E-2</v>
      </c>
    </row>
    <row r="55" spans="2:6" ht="15" customHeight="1" x14ac:dyDescent="0.45">
      <c r="B55" s="38">
        <v>90</v>
      </c>
      <c r="C55" s="39">
        <v>22211.0944356</v>
      </c>
      <c r="D55" s="40">
        <v>366.20748379285698</v>
      </c>
      <c r="E55" s="41">
        <v>1.6487592939405001E-2</v>
      </c>
    </row>
    <row r="56" spans="2:6" ht="14.25" customHeight="1" x14ac:dyDescent="0.45"/>
    <row r="57" spans="2:6" ht="15" customHeight="1" x14ac:dyDescent="0.45">
      <c r="B57" s="35" t="s">
        <v>26</v>
      </c>
      <c r="C57" s="36" t="s">
        <v>27</v>
      </c>
      <c r="D57" s="32"/>
      <c r="E57" s="32"/>
      <c r="F57" s="32"/>
    </row>
    <row r="58" spans="2:6" ht="15" customHeight="1" x14ac:dyDescent="0.45">
      <c r="B58" s="37" t="s">
        <v>123</v>
      </c>
      <c r="C58" s="37" t="s">
        <v>124</v>
      </c>
      <c r="D58" s="37" t="s">
        <v>125</v>
      </c>
      <c r="E58" s="37" t="s">
        <v>126</v>
      </c>
    </row>
    <row r="59" spans="2:6" ht="15" customHeight="1" x14ac:dyDescent="0.45">
      <c r="B59" s="38">
        <v>30</v>
      </c>
      <c r="C59" s="39">
        <v>4808.0412853199996</v>
      </c>
      <c r="D59" s="40">
        <v>203.70930775714299</v>
      </c>
      <c r="E59" s="41">
        <v>4.2368460599353001E-2</v>
      </c>
    </row>
    <row r="60" spans="2:6" ht="15" customHeight="1" x14ac:dyDescent="0.45">
      <c r="B60" s="38">
        <v>40</v>
      </c>
      <c r="C60" s="39">
        <v>9151.6045433399995</v>
      </c>
      <c r="D60" s="40">
        <v>265.51510775714303</v>
      </c>
      <c r="E60" s="41">
        <v>2.9012956853601099E-2</v>
      </c>
    </row>
    <row r="61" spans="2:6" ht="15" customHeight="1" x14ac:dyDescent="0.45">
      <c r="B61" s="38">
        <v>50</v>
      </c>
      <c r="C61" s="39">
        <v>13495.167801359999</v>
      </c>
      <c r="D61" s="40">
        <v>318.652050614286</v>
      </c>
      <c r="E61" s="41">
        <v>2.3612307405482799E-2</v>
      </c>
    </row>
    <row r="62" spans="2:6" ht="15" customHeight="1" x14ac:dyDescent="0.45">
      <c r="B62" s="38">
        <v>60</v>
      </c>
      <c r="C62" s="39">
        <v>17838.731059379999</v>
      </c>
      <c r="D62" s="40">
        <v>363.12013632857099</v>
      </c>
      <c r="E62" s="41">
        <v>2.03557156122736E-2</v>
      </c>
    </row>
    <row r="63" spans="2:6" ht="15" customHeight="1" x14ac:dyDescent="0.45">
      <c r="B63" s="38">
        <v>70</v>
      </c>
      <c r="C63" s="39">
        <v>22182.294317399999</v>
      </c>
      <c r="D63" s="40">
        <v>398.91936490000001</v>
      </c>
      <c r="E63" s="41">
        <v>1.7983683707013299E-2</v>
      </c>
    </row>
    <row r="64" spans="2:6" ht="15" customHeight="1" x14ac:dyDescent="0.45">
      <c r="B64" s="38">
        <v>80</v>
      </c>
      <c r="C64" s="39">
        <v>26525.857575419999</v>
      </c>
      <c r="D64" s="40">
        <v>426.04973632857099</v>
      </c>
      <c r="E64" s="41">
        <v>1.6061676238636202E-2</v>
      </c>
    </row>
    <row r="65" spans="2:6" ht="15" customHeight="1" x14ac:dyDescent="0.45">
      <c r="B65" s="38">
        <v>90</v>
      </c>
      <c r="C65" s="39">
        <v>30869.420833439999</v>
      </c>
      <c r="D65" s="40">
        <v>444.51125061428598</v>
      </c>
      <c r="E65" s="41">
        <v>1.4399727581955801E-2</v>
      </c>
    </row>
    <row r="66" spans="2:6" ht="15" customHeight="1" x14ac:dyDescent="0.45">
      <c r="B66" s="38">
        <v>100</v>
      </c>
      <c r="C66" s="39">
        <v>35212.984091459999</v>
      </c>
      <c r="D66" s="40">
        <v>454.30390775714301</v>
      </c>
      <c r="E66" s="41">
        <v>1.29016020504585E-2</v>
      </c>
    </row>
    <row r="67" spans="2:6" ht="15" customHeight="1" x14ac:dyDescent="0.45">
      <c r="B67" s="38">
        <v>110</v>
      </c>
      <c r="C67" s="39">
        <v>39556.547349480003</v>
      </c>
      <c r="D67" s="40">
        <v>455.42770775714303</v>
      </c>
      <c r="E67" s="41">
        <v>1.1513333146431199E-2</v>
      </c>
    </row>
    <row r="68" spans="2:6" ht="14.25" customHeight="1" x14ac:dyDescent="0.45"/>
    <row r="69" spans="2:6" ht="15" customHeight="1" x14ac:dyDescent="0.45">
      <c r="B69" s="35" t="s">
        <v>28</v>
      </c>
      <c r="C69" s="36" t="s">
        <v>29</v>
      </c>
      <c r="D69" s="32"/>
      <c r="E69" s="32"/>
      <c r="F69" s="32"/>
    </row>
    <row r="70" spans="2:6" ht="15" customHeight="1" x14ac:dyDescent="0.45">
      <c r="B70" s="37" t="s">
        <v>123</v>
      </c>
      <c r="C70" s="37" t="s">
        <v>124</v>
      </c>
      <c r="D70" s="37" t="s">
        <v>125</v>
      </c>
      <c r="E70" s="37" t="s">
        <v>126</v>
      </c>
    </row>
    <row r="71" spans="2:6" ht="15" customHeight="1" x14ac:dyDescent="0.45">
      <c r="B71" s="38">
        <v>30</v>
      </c>
      <c r="C71" s="39">
        <v>4271.64722712</v>
      </c>
      <c r="D71" s="40">
        <v>207.47385700714301</v>
      </c>
      <c r="E71" s="41">
        <v>4.85699885725406E-2</v>
      </c>
    </row>
    <row r="72" spans="2:6" ht="15" customHeight="1" x14ac:dyDescent="0.45">
      <c r="B72" s="38">
        <v>40</v>
      </c>
      <c r="C72" s="39">
        <v>8130.6344624399999</v>
      </c>
      <c r="D72" s="40">
        <v>269.27965700714299</v>
      </c>
      <c r="E72" s="41">
        <v>3.3119144422381501E-2</v>
      </c>
    </row>
    <row r="73" spans="2:6" ht="15" customHeight="1" x14ac:dyDescent="0.45">
      <c r="B73" s="38">
        <v>50</v>
      </c>
      <c r="C73" s="39">
        <v>11989.62169776</v>
      </c>
      <c r="D73" s="40">
        <v>322.41659986428601</v>
      </c>
      <c r="E73" s="41">
        <v>2.6891307164805901E-2</v>
      </c>
    </row>
    <row r="74" spans="2:6" ht="15" customHeight="1" x14ac:dyDescent="0.45">
      <c r="B74" s="38">
        <v>60</v>
      </c>
      <c r="C74" s="39">
        <v>15848.60893308</v>
      </c>
      <c r="D74" s="40">
        <v>366.88468557857198</v>
      </c>
      <c r="E74" s="41">
        <v>2.31493304634952E-2</v>
      </c>
    </row>
    <row r="75" spans="2:6" ht="15" customHeight="1" x14ac:dyDescent="0.45">
      <c r="B75" s="38">
        <v>70</v>
      </c>
      <c r="C75" s="39">
        <v>19707.596168399999</v>
      </c>
      <c r="D75" s="40">
        <v>402.68391415000002</v>
      </c>
      <c r="E75" s="41">
        <v>2.0432929044673701E-2</v>
      </c>
    </row>
    <row r="76" spans="2:6" ht="15" customHeight="1" x14ac:dyDescent="0.45">
      <c r="B76" s="38">
        <v>80</v>
      </c>
      <c r="C76" s="39">
        <v>23566.58340372</v>
      </c>
      <c r="D76" s="40">
        <v>429.814285578571</v>
      </c>
      <c r="E76" s="41">
        <v>1.8238294377059601E-2</v>
      </c>
    </row>
    <row r="77" spans="2:6" ht="15" customHeight="1" x14ac:dyDescent="0.45">
      <c r="B77" s="38">
        <v>90</v>
      </c>
      <c r="C77" s="39">
        <v>27425.570639040001</v>
      </c>
      <c r="D77" s="40">
        <v>448.275799864286</v>
      </c>
      <c r="E77" s="41">
        <v>1.6345176760922901E-2</v>
      </c>
    </row>
    <row r="78" spans="2:6" ht="15" customHeight="1" x14ac:dyDescent="0.45">
      <c r="B78" s="38">
        <v>100</v>
      </c>
      <c r="C78" s="39">
        <v>31284.557874360002</v>
      </c>
      <c r="D78" s="40">
        <v>458.06845700714302</v>
      </c>
      <c r="E78" s="41">
        <v>1.46419987409368E-2</v>
      </c>
    </row>
    <row r="79" spans="2:6" ht="15" customHeight="1" x14ac:dyDescent="0.45">
      <c r="B79" s="38">
        <v>110</v>
      </c>
      <c r="C79" s="39">
        <v>35143.545109680002</v>
      </c>
      <c r="D79" s="40">
        <v>459.19225700714298</v>
      </c>
      <c r="E79" s="41">
        <v>1.3066190550043899E-2</v>
      </c>
    </row>
    <row r="80" spans="2:6" ht="14.25" customHeight="1" x14ac:dyDescent="0.45"/>
    <row r="81" spans="2:6" ht="15" customHeight="1" x14ac:dyDescent="0.45">
      <c r="B81" s="35" t="s">
        <v>30</v>
      </c>
      <c r="C81" s="36" t="s">
        <v>31</v>
      </c>
      <c r="D81" s="32"/>
      <c r="E81" s="32"/>
      <c r="F81" s="32"/>
    </row>
    <row r="82" spans="2:6" ht="15" customHeight="1" x14ac:dyDescent="0.45">
      <c r="B82" s="37" t="s">
        <v>123</v>
      </c>
      <c r="C82" s="37" t="s">
        <v>124</v>
      </c>
      <c r="D82" s="37" t="s">
        <v>125</v>
      </c>
      <c r="E82" s="37" t="s">
        <v>126</v>
      </c>
    </row>
    <row r="83" spans="2:6" ht="15" customHeight="1" x14ac:dyDescent="0.45">
      <c r="B83" s="38">
        <v>30</v>
      </c>
      <c r="C83" s="39">
        <v>1905.5534370600001</v>
      </c>
      <c r="D83" s="40">
        <v>140.74911212142899</v>
      </c>
      <c r="E83" s="41">
        <v>7.3862589935333706E-2</v>
      </c>
    </row>
    <row r="84" spans="2:6" ht="15" customHeight="1" x14ac:dyDescent="0.45">
      <c r="B84" s="38">
        <v>40</v>
      </c>
      <c r="C84" s="39">
        <v>3627.0219944700002</v>
      </c>
      <c r="D84" s="40">
        <v>171.932962121429</v>
      </c>
      <c r="E84" s="41">
        <v>4.7403341469549699E-2</v>
      </c>
    </row>
    <row r="85" spans="2:6" ht="15" customHeight="1" x14ac:dyDescent="0.45">
      <c r="B85" s="38">
        <v>50</v>
      </c>
      <c r="C85" s="39">
        <v>5348.4905518799997</v>
      </c>
      <c r="D85" s="40">
        <v>192.28074069285699</v>
      </c>
      <c r="E85" s="41">
        <v>3.5950468422398199E-2</v>
      </c>
    </row>
    <row r="86" spans="2:6" ht="15" customHeight="1" x14ac:dyDescent="0.45">
      <c r="B86" s="38">
        <v>60</v>
      </c>
      <c r="C86" s="39">
        <v>7069.95910929</v>
      </c>
      <c r="D86" s="40">
        <v>201.792447835714</v>
      </c>
      <c r="E86" s="41">
        <v>2.85422369092003E-2</v>
      </c>
    </row>
    <row r="87" spans="2:6" ht="14.25" customHeight="1" x14ac:dyDescent="0.45"/>
    <row r="88" spans="2:6" ht="15" customHeight="1" x14ac:dyDescent="0.45">
      <c r="B88" s="35" t="s">
        <v>32</v>
      </c>
      <c r="C88" s="36" t="s">
        <v>33</v>
      </c>
      <c r="D88" s="32"/>
      <c r="E88" s="32"/>
      <c r="F88" s="32"/>
    </row>
    <row r="89" spans="2:6" ht="15" customHeight="1" x14ac:dyDescent="0.45">
      <c r="B89" s="37" t="s">
        <v>123</v>
      </c>
      <c r="C89" s="37" t="s">
        <v>124</v>
      </c>
      <c r="D89" s="37" t="s">
        <v>125</v>
      </c>
      <c r="E89" s="37" t="s">
        <v>126</v>
      </c>
    </row>
    <row r="90" spans="2:6" ht="15" customHeight="1" x14ac:dyDescent="0.45">
      <c r="B90" s="38">
        <v>30</v>
      </c>
      <c r="C90" s="39">
        <v>1711.58467662</v>
      </c>
      <c r="D90" s="40">
        <v>142.55153267142899</v>
      </c>
      <c r="E90" s="41">
        <v>8.3286287040695101E-2</v>
      </c>
    </row>
    <row r="91" spans="2:6" ht="15" customHeight="1" x14ac:dyDescent="0.45">
      <c r="B91" s="38">
        <v>40</v>
      </c>
      <c r="C91" s="39">
        <v>3257.8227126900001</v>
      </c>
      <c r="D91" s="40">
        <v>173.73538267142899</v>
      </c>
      <c r="E91" s="41">
        <v>5.3328679303108702E-2</v>
      </c>
    </row>
    <row r="92" spans="2:6" ht="15" customHeight="1" x14ac:dyDescent="0.45">
      <c r="B92" s="38">
        <v>50</v>
      </c>
      <c r="C92" s="39">
        <v>4804.06074876</v>
      </c>
      <c r="D92" s="40">
        <v>194.08316124285699</v>
      </c>
      <c r="E92" s="41">
        <v>4.0399814114122697E-2</v>
      </c>
    </row>
    <row r="93" spans="2:6" ht="15" customHeight="1" x14ac:dyDescent="0.45">
      <c r="B93" s="38">
        <v>60</v>
      </c>
      <c r="C93" s="39">
        <v>6350.2987848299999</v>
      </c>
      <c r="D93" s="40">
        <v>203.59486838571399</v>
      </c>
      <c r="E93" s="41">
        <v>3.2060675455472198E-2</v>
      </c>
    </row>
    <row r="94" spans="2:6" ht="14.25" customHeight="1" x14ac:dyDescent="0.45"/>
    <row r="95" spans="2:6" ht="15" customHeight="1" x14ac:dyDescent="0.45">
      <c r="B95" s="35" t="s">
        <v>34</v>
      </c>
      <c r="C95" s="36" t="s">
        <v>35</v>
      </c>
      <c r="D95" s="32"/>
      <c r="E95" s="32"/>
      <c r="F95" s="32"/>
    </row>
    <row r="96" spans="2:6" ht="15" customHeight="1" x14ac:dyDescent="0.45">
      <c r="B96" s="37" t="s">
        <v>123</v>
      </c>
      <c r="C96" s="37" t="s">
        <v>124</v>
      </c>
      <c r="D96" s="37" t="s">
        <v>125</v>
      </c>
      <c r="E96" s="37" t="s">
        <v>126</v>
      </c>
    </row>
    <row r="97" spans="2:6" ht="15" customHeight="1" x14ac:dyDescent="0.45">
      <c r="B97" s="38">
        <v>30</v>
      </c>
      <c r="C97" s="39">
        <v>2322.2070034799999</v>
      </c>
      <c r="D97" s="40">
        <v>146.57731900714299</v>
      </c>
      <c r="E97" s="41">
        <v>6.3119833325575997E-2</v>
      </c>
    </row>
    <row r="98" spans="2:6" ht="15" customHeight="1" x14ac:dyDescent="0.45">
      <c r="B98" s="38">
        <v>40</v>
      </c>
      <c r="C98" s="39">
        <v>4420.0785522599999</v>
      </c>
      <c r="D98" s="40">
        <v>185.346419007143</v>
      </c>
      <c r="E98" s="41">
        <v>4.19328337303813E-2</v>
      </c>
    </row>
    <row r="99" spans="2:6" ht="15" customHeight="1" x14ac:dyDescent="0.45">
      <c r="B99" s="38">
        <v>50</v>
      </c>
      <c r="C99" s="39">
        <v>6517.9501010399999</v>
      </c>
      <c r="D99" s="40">
        <v>215.446661864286</v>
      </c>
      <c r="E99" s="41">
        <v>3.3054358889600802E-2</v>
      </c>
    </row>
    <row r="100" spans="2:6" ht="15" customHeight="1" x14ac:dyDescent="0.45">
      <c r="B100" s="38">
        <v>60</v>
      </c>
      <c r="C100" s="39">
        <v>8615.8216498199999</v>
      </c>
      <c r="D100" s="40">
        <v>236.878047578571</v>
      </c>
      <c r="E100" s="41">
        <v>2.74933787172255E-2</v>
      </c>
    </row>
    <row r="101" spans="2:6" ht="15" customHeight="1" x14ac:dyDescent="0.45">
      <c r="B101" s="38">
        <v>70</v>
      </c>
      <c r="C101" s="39">
        <v>10713.6931986</v>
      </c>
      <c r="D101" s="40">
        <v>249.64057614999999</v>
      </c>
      <c r="E101" s="41">
        <v>2.3301075690931799E-2</v>
      </c>
    </row>
    <row r="102" spans="2:6" ht="15" customHeight="1" x14ac:dyDescent="0.45">
      <c r="B102" s="38">
        <v>80</v>
      </c>
      <c r="C102" s="39">
        <v>12811.56474738</v>
      </c>
      <c r="D102" s="40">
        <v>253.734247578571</v>
      </c>
      <c r="E102" s="41">
        <v>1.9805094270819699E-2</v>
      </c>
    </row>
    <row r="103" spans="2:6" ht="14.25" customHeight="1" x14ac:dyDescent="0.45"/>
    <row r="104" spans="2:6" ht="15" customHeight="1" x14ac:dyDescent="0.45">
      <c r="B104" s="35" t="s">
        <v>36</v>
      </c>
      <c r="C104" s="36" t="s">
        <v>37</v>
      </c>
      <c r="D104" s="32"/>
      <c r="E104" s="32"/>
      <c r="F104" s="32"/>
    </row>
    <row r="105" spans="2:6" ht="15" customHeight="1" x14ac:dyDescent="0.45">
      <c r="B105" s="37" t="s">
        <v>123</v>
      </c>
      <c r="C105" s="37" t="s">
        <v>124</v>
      </c>
      <c r="D105" s="37" t="s">
        <v>125</v>
      </c>
      <c r="E105" s="37" t="s">
        <v>126</v>
      </c>
    </row>
    <row r="106" spans="2:6" ht="15" customHeight="1" x14ac:dyDescent="0.45">
      <c r="B106" s="38">
        <v>30</v>
      </c>
      <c r="C106" s="39">
        <v>2111.9838776400002</v>
      </c>
      <c r="D106" s="40">
        <v>148.56226315714301</v>
      </c>
      <c r="E106" s="41">
        <v>7.0342517634723198E-2</v>
      </c>
    </row>
    <row r="107" spans="2:6" ht="15" customHeight="1" x14ac:dyDescent="0.45">
      <c r="B107" s="38">
        <v>40</v>
      </c>
      <c r="C107" s="39">
        <v>4019.9407831799999</v>
      </c>
      <c r="D107" s="40">
        <v>187.33136315714299</v>
      </c>
      <c r="E107" s="41">
        <v>4.66005280328914E-2</v>
      </c>
    </row>
    <row r="108" spans="2:6" ht="15" customHeight="1" x14ac:dyDescent="0.45">
      <c r="B108" s="38">
        <v>50</v>
      </c>
      <c r="C108" s="39">
        <v>5927.8976887199997</v>
      </c>
      <c r="D108" s="40">
        <v>217.43160601428599</v>
      </c>
      <c r="E108" s="41">
        <v>3.6679379002783598E-2</v>
      </c>
    </row>
    <row r="109" spans="2:6" ht="15" customHeight="1" x14ac:dyDescent="0.45">
      <c r="B109" s="38">
        <v>60</v>
      </c>
      <c r="C109" s="39">
        <v>7835.8545942600003</v>
      </c>
      <c r="D109" s="40">
        <v>238.86299172857099</v>
      </c>
      <c r="E109" s="41">
        <v>3.0483336419175701E-2</v>
      </c>
    </row>
    <row r="110" spans="2:6" ht="15" customHeight="1" x14ac:dyDescent="0.45">
      <c r="B110" s="38">
        <v>70</v>
      </c>
      <c r="C110" s="39">
        <v>9743.8114998000001</v>
      </c>
      <c r="D110" s="40">
        <v>251.62552030000001</v>
      </c>
      <c r="E110" s="41">
        <v>2.5824136715408001E-2</v>
      </c>
    </row>
    <row r="111" spans="2:6" ht="15" customHeight="1" x14ac:dyDescent="0.45">
      <c r="B111" s="38">
        <v>80</v>
      </c>
      <c r="C111" s="39">
        <v>11651.768405340001</v>
      </c>
      <c r="D111" s="40">
        <v>255.71919172857099</v>
      </c>
      <c r="E111" s="41">
        <v>2.1946813808226301E-2</v>
      </c>
    </row>
    <row r="112" spans="2:6" ht="14.25" customHeight="1" x14ac:dyDescent="0.45"/>
    <row r="113" spans="2:6" ht="15" customHeight="1" x14ac:dyDescent="0.45">
      <c r="B113" s="35" t="s">
        <v>38</v>
      </c>
      <c r="C113" s="36" t="s">
        <v>39</v>
      </c>
      <c r="D113" s="32"/>
      <c r="E113" s="32"/>
      <c r="F113" s="32"/>
    </row>
    <row r="114" spans="2:6" ht="15" customHeight="1" x14ac:dyDescent="0.45">
      <c r="B114" s="37" t="s">
        <v>123</v>
      </c>
      <c r="C114" s="37" t="s">
        <v>124</v>
      </c>
      <c r="D114" s="37" t="s">
        <v>125</v>
      </c>
      <c r="E114" s="37" t="s">
        <v>126</v>
      </c>
    </row>
    <row r="115" spans="2:6" ht="15" customHeight="1" x14ac:dyDescent="0.45">
      <c r="B115" s="38">
        <v>30</v>
      </c>
      <c r="C115" s="39">
        <v>2856.9756251399999</v>
      </c>
      <c r="D115" s="40">
        <v>149.38270688571399</v>
      </c>
      <c r="E115" s="41">
        <v>5.2287007831365098E-2</v>
      </c>
    </row>
    <row r="116" spans="2:6" ht="15" customHeight="1" x14ac:dyDescent="0.45">
      <c r="B116" s="38">
        <v>40</v>
      </c>
      <c r="C116" s="39">
        <v>5437.9547844299996</v>
      </c>
      <c r="D116" s="40">
        <v>194.22000688571401</v>
      </c>
      <c r="E116" s="41">
        <v>3.5715634753309598E-2</v>
      </c>
    </row>
    <row r="117" spans="2:6" ht="15" customHeight="1" x14ac:dyDescent="0.45">
      <c r="B117" s="38">
        <v>50</v>
      </c>
      <c r="C117" s="39">
        <v>8018.9339437199997</v>
      </c>
      <c r="D117" s="40">
        <v>232.122221171429</v>
      </c>
      <c r="E117" s="41">
        <v>2.8946768086699898E-2</v>
      </c>
    </row>
    <row r="118" spans="2:6" ht="15" customHeight="1" x14ac:dyDescent="0.45">
      <c r="B118" s="38">
        <v>60</v>
      </c>
      <c r="C118" s="39">
        <v>10599.91310301</v>
      </c>
      <c r="D118" s="40">
        <v>263.089349742857</v>
      </c>
      <c r="E118" s="41">
        <v>2.4819953445481501E-2</v>
      </c>
    </row>
    <row r="119" spans="2:6" ht="15" customHeight="1" x14ac:dyDescent="0.45">
      <c r="B119" s="38">
        <v>70</v>
      </c>
      <c r="C119" s="39">
        <v>13180.8922623</v>
      </c>
      <c r="D119" s="40">
        <v>287.12139259999998</v>
      </c>
      <c r="E119" s="41">
        <v>2.1783152982839001E-2</v>
      </c>
    </row>
    <row r="120" spans="2:6" ht="15" customHeight="1" x14ac:dyDescent="0.45">
      <c r="B120" s="38">
        <v>80</v>
      </c>
      <c r="C120" s="39">
        <v>15761.87142159</v>
      </c>
      <c r="D120" s="40">
        <v>304.21834974285701</v>
      </c>
      <c r="E120" s="41">
        <v>1.93009028944463E-2</v>
      </c>
    </row>
    <row r="121" spans="2:6" ht="15" customHeight="1" x14ac:dyDescent="0.45">
      <c r="B121" s="38">
        <v>90</v>
      </c>
      <c r="C121" s="39">
        <v>18342.85058088</v>
      </c>
      <c r="D121" s="40">
        <v>314.38022117142901</v>
      </c>
      <c r="E121" s="41">
        <v>1.7139114762191199E-2</v>
      </c>
    </row>
    <row r="122" spans="2:6" ht="15" customHeight="1" x14ac:dyDescent="0.45">
      <c r="B122" s="38">
        <v>100</v>
      </c>
      <c r="C122" s="39">
        <v>20923.82974017</v>
      </c>
      <c r="D122" s="40">
        <v>317.60700688571399</v>
      </c>
      <c r="E122" s="41">
        <v>1.51792005015203E-2</v>
      </c>
    </row>
    <row r="123" spans="2:6" ht="15" customHeight="1" x14ac:dyDescent="0.45">
      <c r="B123" s="38"/>
      <c r="C123" s="42"/>
      <c r="D123" s="43"/>
      <c r="E123" s="44"/>
    </row>
    <row r="124" spans="2:6" ht="14.25" customHeight="1" x14ac:dyDescent="0.45"/>
    <row r="125" spans="2:6" ht="15" customHeight="1" x14ac:dyDescent="0.45">
      <c r="B125" s="35" t="s">
        <v>40</v>
      </c>
      <c r="C125" s="36" t="s">
        <v>41</v>
      </c>
      <c r="D125" s="32"/>
      <c r="E125" s="32"/>
      <c r="F125" s="32"/>
    </row>
    <row r="126" spans="2:6" ht="15" customHeight="1" x14ac:dyDescent="0.45">
      <c r="B126" s="37" t="s">
        <v>123</v>
      </c>
      <c r="C126" s="37" t="s">
        <v>124</v>
      </c>
      <c r="D126" s="37" t="s">
        <v>125</v>
      </c>
      <c r="E126" s="37" t="s">
        <v>126</v>
      </c>
    </row>
    <row r="127" spans="2:6" ht="15" customHeight="1" x14ac:dyDescent="0.45">
      <c r="B127" s="38">
        <v>30</v>
      </c>
      <c r="C127" s="39">
        <v>2596.9057787400002</v>
      </c>
      <c r="D127" s="40">
        <v>151.82396003571401</v>
      </c>
      <c r="E127" s="41">
        <v>5.84634072127862E-2</v>
      </c>
    </row>
    <row r="128" spans="2:6" ht="15" customHeight="1" x14ac:dyDescent="0.45">
      <c r="B128" s="38">
        <v>40</v>
      </c>
      <c r="C128" s="39">
        <v>4942.9389876300002</v>
      </c>
      <c r="D128" s="40">
        <v>196.66126003571401</v>
      </c>
      <c r="E128" s="41">
        <v>3.97863013336541E-2</v>
      </c>
    </row>
    <row r="129" spans="2:6" ht="15" customHeight="1" x14ac:dyDescent="0.45">
      <c r="B129" s="38">
        <v>50</v>
      </c>
      <c r="C129" s="39">
        <v>7288.9721965199997</v>
      </c>
      <c r="D129" s="40">
        <v>234.563474321429</v>
      </c>
      <c r="E129" s="41">
        <v>3.2180596659899002E-2</v>
      </c>
    </row>
    <row r="130" spans="2:6" ht="15" customHeight="1" x14ac:dyDescent="0.45">
      <c r="B130" s="38">
        <v>60</v>
      </c>
      <c r="C130" s="39">
        <v>9635.0054054100001</v>
      </c>
      <c r="D130" s="40">
        <v>265.53060289285702</v>
      </c>
      <c r="E130" s="41">
        <v>2.75589469564556E-2</v>
      </c>
    </row>
    <row r="131" spans="2:6" ht="15" customHeight="1" x14ac:dyDescent="0.45">
      <c r="B131" s="38">
        <v>70</v>
      </c>
      <c r="C131" s="39">
        <v>11981.0386143</v>
      </c>
      <c r="D131" s="40">
        <v>289.56264575</v>
      </c>
      <c r="E131" s="41">
        <v>2.41684093567975E-2</v>
      </c>
    </row>
    <row r="132" spans="2:6" ht="15" customHeight="1" x14ac:dyDescent="0.45">
      <c r="B132" s="38">
        <v>80</v>
      </c>
      <c r="C132" s="39">
        <v>14327.071823189999</v>
      </c>
      <c r="D132" s="40">
        <v>306.65960289285698</v>
      </c>
      <c r="E132" s="41">
        <v>2.1404206433619899E-2</v>
      </c>
    </row>
    <row r="133" spans="2:6" ht="15" customHeight="1" x14ac:dyDescent="0.45">
      <c r="B133" s="38">
        <v>90</v>
      </c>
      <c r="C133" s="39">
        <v>16673.105032079999</v>
      </c>
      <c r="D133" s="40">
        <v>316.82147432142898</v>
      </c>
      <c r="E133" s="41">
        <v>1.90019479702099E-2</v>
      </c>
    </row>
    <row r="134" spans="2:6" ht="15" customHeight="1" x14ac:dyDescent="0.45">
      <c r="B134" s="38">
        <v>100</v>
      </c>
      <c r="C134" s="39">
        <v>19019.138240970002</v>
      </c>
      <c r="D134" s="40">
        <v>320.04826003571401</v>
      </c>
      <c r="E134" s="41">
        <v>1.68276951342771E-2</v>
      </c>
    </row>
    <row r="135" spans="2:6" ht="14.25" customHeight="1" x14ac:dyDescent="0.45"/>
    <row r="136" spans="2:6" ht="15" customHeight="1" x14ac:dyDescent="0.45">
      <c r="B136" s="35" t="s">
        <v>42</v>
      </c>
      <c r="C136" s="36" t="s">
        <v>43</v>
      </c>
      <c r="D136" s="32"/>
      <c r="E136" s="32"/>
      <c r="F136" s="32"/>
    </row>
    <row r="137" spans="2:6" ht="15" customHeight="1" x14ac:dyDescent="0.45">
      <c r="B137" s="37" t="s">
        <v>123</v>
      </c>
      <c r="C137" s="37" t="s">
        <v>124</v>
      </c>
      <c r="D137" s="37" t="s">
        <v>125</v>
      </c>
      <c r="E137" s="37" t="s">
        <v>126</v>
      </c>
    </row>
    <row r="138" spans="2:6" ht="15" customHeight="1" x14ac:dyDescent="0.45">
      <c r="B138" s="38">
        <v>30</v>
      </c>
      <c r="C138" s="39">
        <v>3975.2759646600002</v>
      </c>
      <c r="D138" s="40">
        <v>199.86604502142899</v>
      </c>
      <c r="E138" s="41">
        <v>5.0277275539667599E-2</v>
      </c>
    </row>
    <row r="139" spans="2:6" ht="15" customHeight="1" x14ac:dyDescent="0.45">
      <c r="B139" s="38">
        <v>40</v>
      </c>
      <c r="C139" s="39">
        <v>7566.5227106700004</v>
      </c>
      <c r="D139" s="40">
        <v>254.08659502142899</v>
      </c>
      <c r="E139" s="41">
        <v>3.3580365081456301E-2</v>
      </c>
    </row>
    <row r="140" spans="2:6" ht="15" customHeight="1" x14ac:dyDescent="0.45">
      <c r="B140" s="38">
        <v>50</v>
      </c>
      <c r="C140" s="39">
        <v>11157.76945668</v>
      </c>
      <c r="D140" s="40">
        <v>297.47107359285701</v>
      </c>
      <c r="E140" s="41">
        <v>2.66604427298653E-2</v>
      </c>
    </row>
    <row r="141" spans="2:6" ht="15" customHeight="1" x14ac:dyDescent="0.45">
      <c r="B141" s="38">
        <v>60</v>
      </c>
      <c r="C141" s="39">
        <v>14749.01620269</v>
      </c>
      <c r="D141" s="40">
        <v>330.01948073571401</v>
      </c>
      <c r="E141" s="41">
        <v>2.23756945005948E-2</v>
      </c>
    </row>
    <row r="142" spans="2:6" ht="15" customHeight="1" x14ac:dyDescent="0.45">
      <c r="B142" s="38">
        <v>70</v>
      </c>
      <c r="C142" s="39">
        <v>18340.262948700001</v>
      </c>
      <c r="D142" s="40">
        <v>351.73181645</v>
      </c>
      <c r="E142" s="41">
        <v>1.91781228782727E-2</v>
      </c>
    </row>
    <row r="143" spans="2:6" ht="15" customHeight="1" x14ac:dyDescent="0.45">
      <c r="B143" s="38">
        <v>80</v>
      </c>
      <c r="C143" s="39">
        <v>21931.509694709999</v>
      </c>
      <c r="D143" s="40">
        <v>362.608080735714</v>
      </c>
      <c r="E143" s="41">
        <v>1.6533658000898E-2</v>
      </c>
    </row>
    <row r="144" spans="2:6" ht="15" customHeight="1" x14ac:dyDescent="0.45">
      <c r="B144" s="38">
        <v>90</v>
      </c>
      <c r="C144" s="39">
        <v>25522.756440720001</v>
      </c>
      <c r="D144" s="40">
        <v>362.64827359285698</v>
      </c>
      <c r="E144" s="41">
        <v>1.4208820839361799E-2</v>
      </c>
    </row>
    <row r="145" spans="2:6" ht="14.25" customHeight="1" x14ac:dyDescent="0.45"/>
    <row r="146" spans="2:6" ht="15" customHeight="1" x14ac:dyDescent="0.45">
      <c r="B146" s="35" t="s">
        <v>44</v>
      </c>
      <c r="C146" s="36" t="s">
        <v>45</v>
      </c>
      <c r="D146" s="32"/>
      <c r="E146" s="32"/>
      <c r="F146" s="32"/>
    </row>
    <row r="147" spans="2:6" ht="15" customHeight="1" x14ac:dyDescent="0.45">
      <c r="B147" s="37" t="s">
        <v>123</v>
      </c>
      <c r="C147" s="37" t="s">
        <v>124</v>
      </c>
      <c r="D147" s="37" t="s">
        <v>125</v>
      </c>
      <c r="E147" s="37" t="s">
        <v>126</v>
      </c>
    </row>
    <row r="148" spans="2:6" ht="15" customHeight="1" x14ac:dyDescent="0.45">
      <c r="B148" s="38">
        <v>30</v>
      </c>
      <c r="C148" s="39">
        <v>3668.6102707800001</v>
      </c>
      <c r="D148" s="40">
        <v>202.01069732142901</v>
      </c>
      <c r="E148" s="41">
        <v>5.5064638217479103E-2</v>
      </c>
    </row>
    <row r="149" spans="2:6" ht="15" customHeight="1" x14ac:dyDescent="0.45">
      <c r="B149" s="38">
        <v>40</v>
      </c>
      <c r="C149" s="39">
        <v>6982.8165836099997</v>
      </c>
      <c r="D149" s="40">
        <v>256.23124732142901</v>
      </c>
      <c r="E149" s="41">
        <v>3.66945406990715E-2</v>
      </c>
    </row>
    <row r="150" spans="2:6" ht="15" customHeight="1" x14ac:dyDescent="0.45">
      <c r="B150" s="38">
        <v>50</v>
      </c>
      <c r="C150" s="39">
        <v>10297.022896439999</v>
      </c>
      <c r="D150" s="40">
        <v>299.61572589285697</v>
      </c>
      <c r="E150" s="41">
        <v>2.9097315690775401E-2</v>
      </c>
    </row>
    <row r="151" spans="2:6" ht="15" customHeight="1" x14ac:dyDescent="0.45">
      <c r="B151" s="38">
        <v>60</v>
      </c>
      <c r="C151" s="39">
        <v>13611.229209270001</v>
      </c>
      <c r="D151" s="40">
        <v>332.16413303571397</v>
      </c>
      <c r="E151" s="41">
        <v>2.4403683747349799E-2</v>
      </c>
    </row>
    <row r="152" spans="2:6" ht="15" customHeight="1" x14ac:dyDescent="0.45">
      <c r="B152" s="38">
        <v>70</v>
      </c>
      <c r="C152" s="39">
        <v>16925.435522100001</v>
      </c>
      <c r="D152" s="40">
        <v>353.87646875000002</v>
      </c>
      <c r="E152" s="41">
        <v>2.09079682639737E-2</v>
      </c>
    </row>
    <row r="153" spans="2:6" ht="15" customHeight="1" x14ac:dyDescent="0.45">
      <c r="B153" s="38">
        <v>80</v>
      </c>
      <c r="C153" s="39">
        <v>20239.64183493</v>
      </c>
      <c r="D153" s="40">
        <v>364.75273303571402</v>
      </c>
      <c r="E153" s="41">
        <v>1.8021699000928801E-2</v>
      </c>
    </row>
    <row r="154" spans="2:6" ht="15" customHeight="1" x14ac:dyDescent="0.45">
      <c r="B154" s="38">
        <v>90</v>
      </c>
      <c r="C154" s="39">
        <v>23553.84814776</v>
      </c>
      <c r="D154" s="40">
        <v>364.792925892857</v>
      </c>
      <c r="E154" s="41">
        <v>1.54876147457692E-2</v>
      </c>
    </row>
    <row r="155" spans="2:6" ht="14.25" customHeight="1" x14ac:dyDescent="0.45"/>
    <row r="156" spans="2:6" ht="15" customHeight="1" x14ac:dyDescent="0.45">
      <c r="B156" s="35" t="s">
        <v>46</v>
      </c>
      <c r="C156" s="36" t="s">
        <v>47</v>
      </c>
      <c r="D156" s="32"/>
      <c r="E156" s="32"/>
      <c r="F156" s="32"/>
    </row>
    <row r="157" spans="2:6" ht="15" customHeight="1" x14ac:dyDescent="0.45">
      <c r="B157" s="37" t="s">
        <v>123</v>
      </c>
      <c r="C157" s="37" t="s">
        <v>124</v>
      </c>
      <c r="D157" s="37" t="s">
        <v>125</v>
      </c>
      <c r="E157" s="37" t="s">
        <v>126</v>
      </c>
    </row>
    <row r="158" spans="2:6" ht="15" customHeight="1" x14ac:dyDescent="0.45">
      <c r="B158" s="38">
        <v>30</v>
      </c>
      <c r="C158" s="39">
        <v>4886.0622392400001</v>
      </c>
      <c r="D158" s="40">
        <v>203.13892150714301</v>
      </c>
      <c r="E158" s="41">
        <v>4.1575180904519199E-2</v>
      </c>
    </row>
    <row r="159" spans="2:6" ht="15" customHeight="1" x14ac:dyDescent="0.45">
      <c r="B159" s="38">
        <v>40</v>
      </c>
      <c r="C159" s="39">
        <v>9300.1092823800009</v>
      </c>
      <c r="D159" s="40">
        <v>264.94472150714302</v>
      </c>
      <c r="E159" s="41">
        <v>2.8488344971290599E-2</v>
      </c>
    </row>
    <row r="160" spans="2:6" ht="15" customHeight="1" x14ac:dyDescent="0.45">
      <c r="B160" s="38">
        <v>50</v>
      </c>
      <c r="C160" s="39">
        <v>13714.15632552</v>
      </c>
      <c r="D160" s="40">
        <v>318.08166436428598</v>
      </c>
      <c r="E160" s="41">
        <v>2.31936735162033E-2</v>
      </c>
    </row>
    <row r="161" spans="2:6" ht="15" customHeight="1" x14ac:dyDescent="0.45">
      <c r="B161" s="38">
        <v>60</v>
      </c>
      <c r="C161" s="39">
        <v>18128.203368660001</v>
      </c>
      <c r="D161" s="40">
        <v>362.54975007857098</v>
      </c>
      <c r="E161" s="41">
        <v>1.9999210219880201E-2</v>
      </c>
    </row>
    <row r="162" spans="2:6" ht="15" customHeight="1" x14ac:dyDescent="0.45">
      <c r="B162" s="38">
        <v>70</v>
      </c>
      <c r="C162" s="39">
        <v>22542.2504118</v>
      </c>
      <c r="D162" s="40">
        <v>398.34897864999999</v>
      </c>
      <c r="E162" s="41">
        <v>1.7671216110769501E-2</v>
      </c>
    </row>
    <row r="163" spans="2:6" ht="15" customHeight="1" x14ac:dyDescent="0.45">
      <c r="B163" s="38">
        <v>80</v>
      </c>
      <c r="C163" s="39">
        <v>26956.297454939999</v>
      </c>
      <c r="D163" s="40">
        <v>425.47935007857097</v>
      </c>
      <c r="E163" s="41">
        <v>1.5784042700589699E-2</v>
      </c>
    </row>
    <row r="164" spans="2:6" ht="15" customHeight="1" x14ac:dyDescent="0.45">
      <c r="B164" s="38">
        <v>90</v>
      </c>
      <c r="C164" s="39">
        <v>31370.344498080001</v>
      </c>
      <c r="D164" s="40">
        <v>443.94086436428603</v>
      </c>
      <c r="E164" s="41">
        <v>1.41516094728082E-2</v>
      </c>
    </row>
    <row r="165" spans="2:6" ht="15" customHeight="1" x14ac:dyDescent="0.45">
      <c r="B165" s="38">
        <v>100</v>
      </c>
      <c r="C165" s="39">
        <v>35784.39154122</v>
      </c>
      <c r="D165" s="40">
        <v>453.733521507143</v>
      </c>
      <c r="E165" s="41">
        <v>1.26796489185652E-2</v>
      </c>
    </row>
    <row r="166" spans="2:6" ht="15" customHeight="1" x14ac:dyDescent="0.45">
      <c r="B166" s="38">
        <v>110</v>
      </c>
      <c r="C166" s="39">
        <v>40198.438584360003</v>
      </c>
      <c r="D166" s="40">
        <v>454.85732150714301</v>
      </c>
      <c r="E166" s="41">
        <v>1.1315298243551999E-2</v>
      </c>
    </row>
    <row r="167" spans="2:6" ht="14.25" customHeight="1" x14ac:dyDescent="0.45"/>
    <row r="168" spans="2:6" ht="15" customHeight="1" x14ac:dyDescent="0.45">
      <c r="B168" s="35" t="s">
        <v>48</v>
      </c>
      <c r="C168" s="36" t="s">
        <v>49</v>
      </c>
      <c r="D168" s="32"/>
      <c r="E168" s="32"/>
      <c r="F168" s="32"/>
    </row>
    <row r="169" spans="2:6" ht="15" customHeight="1" x14ac:dyDescent="0.45">
      <c r="B169" s="37" t="s">
        <v>123</v>
      </c>
      <c r="C169" s="37" t="s">
        <v>124</v>
      </c>
      <c r="D169" s="37" t="s">
        <v>125</v>
      </c>
      <c r="E169" s="37" t="s">
        <v>126</v>
      </c>
    </row>
    <row r="170" spans="2:6" ht="15" customHeight="1" x14ac:dyDescent="0.45">
      <c r="B170" s="38">
        <v>30</v>
      </c>
      <c r="C170" s="39">
        <v>4507.3355254199996</v>
      </c>
      <c r="D170" s="40">
        <v>205.785513707143</v>
      </c>
      <c r="E170" s="41">
        <v>4.5655690051600403E-2</v>
      </c>
    </row>
    <row r="171" spans="2:6" ht="15" customHeight="1" x14ac:dyDescent="0.45">
      <c r="B171" s="38">
        <v>40</v>
      </c>
      <c r="C171" s="39">
        <v>8579.2425282900003</v>
      </c>
      <c r="D171" s="40">
        <v>267.591313707143</v>
      </c>
      <c r="E171" s="41">
        <v>3.1190552408882501E-2</v>
      </c>
    </row>
    <row r="172" spans="2:6" ht="15" customHeight="1" x14ac:dyDescent="0.45">
      <c r="B172" s="38">
        <v>50</v>
      </c>
      <c r="C172" s="39">
        <v>12651.149531159999</v>
      </c>
      <c r="D172" s="40">
        <v>320.72825656428603</v>
      </c>
      <c r="E172" s="41">
        <v>2.5351708615436602E-2</v>
      </c>
    </row>
    <row r="173" spans="2:6" ht="15" customHeight="1" x14ac:dyDescent="0.45">
      <c r="B173" s="38">
        <v>60</v>
      </c>
      <c r="C173" s="39">
        <v>16723.056534030002</v>
      </c>
      <c r="D173" s="40">
        <v>365.19634227857199</v>
      </c>
      <c r="E173" s="41">
        <v>2.1837894378663899E-2</v>
      </c>
    </row>
    <row r="174" spans="2:6" ht="15" customHeight="1" x14ac:dyDescent="0.45">
      <c r="B174" s="38">
        <v>70</v>
      </c>
      <c r="C174" s="39">
        <v>20794.963536899999</v>
      </c>
      <c r="D174" s="40">
        <v>400.99557084999998</v>
      </c>
      <c r="E174" s="41">
        <v>1.92833024274578E-2</v>
      </c>
    </row>
    <row r="175" spans="2:6" ht="15" customHeight="1" x14ac:dyDescent="0.45">
      <c r="B175" s="38">
        <v>80</v>
      </c>
      <c r="C175" s="39">
        <v>24866.87053977</v>
      </c>
      <c r="D175" s="40">
        <v>428.12594227857102</v>
      </c>
      <c r="E175" s="41">
        <v>1.7216719795675999E-2</v>
      </c>
    </row>
    <row r="176" spans="2:6" ht="15" customHeight="1" x14ac:dyDescent="0.45">
      <c r="B176" s="38">
        <v>90</v>
      </c>
      <c r="C176" s="39">
        <v>28938.77754264</v>
      </c>
      <c r="D176" s="40">
        <v>446.58745656428601</v>
      </c>
      <c r="E176" s="41">
        <v>1.5432146568950899E-2</v>
      </c>
    </row>
    <row r="177" spans="2:6" ht="15" customHeight="1" x14ac:dyDescent="0.45">
      <c r="B177" s="38">
        <v>100</v>
      </c>
      <c r="C177" s="39">
        <v>33010.684545509997</v>
      </c>
      <c r="D177" s="40">
        <v>456.38011370714298</v>
      </c>
      <c r="E177" s="41">
        <v>1.38252241657684E-2</v>
      </c>
    </row>
    <row r="178" spans="2:6" ht="15" customHeight="1" x14ac:dyDescent="0.45">
      <c r="B178" s="38">
        <v>110</v>
      </c>
      <c r="C178" s="39">
        <v>37082.591548379998</v>
      </c>
      <c r="D178" s="40">
        <v>457.503913707143</v>
      </c>
      <c r="E178" s="41">
        <v>1.23374309778285E-2</v>
      </c>
    </row>
    <row r="179" spans="2:6" ht="14.25" customHeight="1" x14ac:dyDescent="0.45"/>
    <row r="180" spans="2:6" ht="15" customHeight="1" x14ac:dyDescent="0.45">
      <c r="B180" s="35" t="s">
        <v>50</v>
      </c>
      <c r="C180" s="36" t="s">
        <v>51</v>
      </c>
      <c r="D180" s="32"/>
      <c r="E180" s="32"/>
      <c r="F180" s="32"/>
    </row>
    <row r="181" spans="2:6" ht="15" customHeight="1" x14ac:dyDescent="0.45">
      <c r="B181" s="37" t="s">
        <v>123</v>
      </c>
      <c r="C181" s="37" t="s">
        <v>124</v>
      </c>
      <c r="D181" s="37" t="s">
        <v>125</v>
      </c>
      <c r="E181" s="37" t="s">
        <v>126</v>
      </c>
    </row>
    <row r="182" spans="2:6" ht="15" customHeight="1" x14ac:dyDescent="0.45">
      <c r="B182" s="38">
        <v>30</v>
      </c>
      <c r="C182" s="39">
        <v>6041.7476191799997</v>
      </c>
      <c r="D182" s="40">
        <v>202.84140818571399</v>
      </c>
      <c r="E182" s="41">
        <v>3.3573300470509299E-2</v>
      </c>
    </row>
    <row r="183" spans="2:6" ht="15" customHeight="1" x14ac:dyDescent="0.45">
      <c r="B183" s="38">
        <v>40</v>
      </c>
      <c r="C183" s="39">
        <v>11499.835729410001</v>
      </c>
      <c r="D183" s="40">
        <v>270.71540818571401</v>
      </c>
      <c r="E183" s="41">
        <v>2.3540806543295201E-2</v>
      </c>
    </row>
    <row r="184" spans="2:6" ht="15" customHeight="1" x14ac:dyDescent="0.45">
      <c r="B184" s="38">
        <v>50</v>
      </c>
      <c r="C184" s="39">
        <v>16957.92383964</v>
      </c>
      <c r="D184" s="40">
        <v>331.654322471429</v>
      </c>
      <c r="E184" s="41">
        <v>1.95574839000143E-2</v>
      </c>
    </row>
    <row r="185" spans="2:6" ht="15" customHeight="1" x14ac:dyDescent="0.45">
      <c r="B185" s="38">
        <v>60</v>
      </c>
      <c r="C185" s="39">
        <v>22416.011949870001</v>
      </c>
      <c r="D185" s="40">
        <v>385.65815104285701</v>
      </c>
      <c r="E185" s="41">
        <v>1.72045835764775E-2</v>
      </c>
    </row>
    <row r="186" spans="2:6" ht="15" customHeight="1" x14ac:dyDescent="0.45">
      <c r="B186" s="38">
        <v>70</v>
      </c>
      <c r="C186" s="39">
        <v>27874.100060100001</v>
      </c>
      <c r="D186" s="40">
        <v>432.72689389999999</v>
      </c>
      <c r="E186" s="41">
        <v>1.55243359594386E-2</v>
      </c>
    </row>
    <row r="187" spans="2:6" ht="15" customHeight="1" x14ac:dyDescent="0.45">
      <c r="B187" s="38">
        <v>80</v>
      </c>
      <c r="C187" s="39">
        <v>33332.188170330002</v>
      </c>
      <c r="D187" s="40">
        <v>472.86055104285703</v>
      </c>
      <c r="E187" s="41">
        <v>1.41863039001971E-2</v>
      </c>
    </row>
    <row r="188" spans="2:6" ht="15" customHeight="1" x14ac:dyDescent="0.45">
      <c r="B188" s="38">
        <v>90</v>
      </c>
      <c r="C188" s="39">
        <v>38790.27628056</v>
      </c>
      <c r="D188" s="40">
        <v>506.05912247142902</v>
      </c>
      <c r="E188" s="41">
        <v>1.30460303714063E-2</v>
      </c>
    </row>
    <row r="189" spans="2:6" ht="15" customHeight="1" x14ac:dyDescent="0.45">
      <c r="B189" s="38">
        <v>100</v>
      </c>
      <c r="C189" s="39">
        <v>44248.364390789997</v>
      </c>
      <c r="D189" s="40">
        <v>532.32260818571399</v>
      </c>
      <c r="E189" s="41">
        <v>1.2030334126802499E-2</v>
      </c>
    </row>
    <row r="190" spans="2:6" ht="15" customHeight="1" x14ac:dyDescent="0.45">
      <c r="B190" s="38">
        <v>110</v>
      </c>
      <c r="C190" s="39">
        <v>49706.452501020001</v>
      </c>
      <c r="D190" s="40">
        <v>551.65100818571398</v>
      </c>
      <c r="E190" s="41">
        <v>1.109817700578E-2</v>
      </c>
    </row>
    <row r="191" spans="2:6" ht="15" customHeight="1" x14ac:dyDescent="0.45">
      <c r="B191" s="38">
        <v>120</v>
      </c>
      <c r="C191" s="39">
        <v>55164.540611249999</v>
      </c>
      <c r="D191" s="40">
        <v>564.04432247142904</v>
      </c>
      <c r="E191" s="41">
        <v>1.02247624329242E-2</v>
      </c>
    </row>
    <row r="192" spans="2:6" ht="15" customHeight="1" x14ac:dyDescent="0.45">
      <c r="B192" s="38">
        <v>130</v>
      </c>
      <c r="C192" s="39">
        <v>60622.628721480003</v>
      </c>
      <c r="D192" s="40">
        <v>569.50255104285702</v>
      </c>
      <c r="E192" s="41">
        <v>9.3942239565251492E-3</v>
      </c>
    </row>
    <row r="193" spans="2:6" ht="14.25" customHeight="1" x14ac:dyDescent="0.45"/>
    <row r="194" spans="2:6" ht="15" customHeight="1" x14ac:dyDescent="0.45">
      <c r="B194" s="35" t="s">
        <v>52</v>
      </c>
      <c r="C194" s="36" t="s">
        <v>53</v>
      </c>
      <c r="D194" s="32"/>
      <c r="E194" s="32"/>
      <c r="F194" s="32"/>
    </row>
    <row r="195" spans="2:6" ht="15" customHeight="1" x14ac:dyDescent="0.45">
      <c r="B195" s="37" t="s">
        <v>123</v>
      </c>
      <c r="C195" s="37" t="s">
        <v>124</v>
      </c>
      <c r="D195" s="37" t="s">
        <v>125</v>
      </c>
      <c r="E195" s="37" t="s">
        <v>126</v>
      </c>
    </row>
    <row r="196" spans="2:6" ht="15" customHeight="1" x14ac:dyDescent="0.45">
      <c r="B196" s="38">
        <v>30</v>
      </c>
      <c r="C196" s="39">
        <v>5572.5382712999999</v>
      </c>
      <c r="D196" s="40">
        <v>206.126832985714</v>
      </c>
      <c r="E196" s="41">
        <v>3.6989756364226398E-2</v>
      </c>
    </row>
    <row r="197" spans="2:6" ht="15" customHeight="1" x14ac:dyDescent="0.45">
      <c r="B197" s="38">
        <v>40</v>
      </c>
      <c r="C197" s="39">
        <v>10606.744729350001</v>
      </c>
      <c r="D197" s="40">
        <v>274.000832985714</v>
      </c>
      <c r="E197" s="41">
        <v>2.58326979650528E-2</v>
      </c>
    </row>
    <row r="198" spans="2:6" ht="15" customHeight="1" x14ac:dyDescent="0.45">
      <c r="B198" s="38">
        <v>50</v>
      </c>
      <c r="C198" s="39">
        <v>15640.9511874</v>
      </c>
      <c r="D198" s="40">
        <v>334.93974727142898</v>
      </c>
      <c r="E198" s="41">
        <v>2.1414282498448602E-2</v>
      </c>
    </row>
    <row r="199" spans="2:6" ht="15" customHeight="1" x14ac:dyDescent="0.45">
      <c r="B199" s="38">
        <v>60</v>
      </c>
      <c r="C199" s="39">
        <v>20675.157645449999</v>
      </c>
      <c r="D199" s="40">
        <v>388.943575842857</v>
      </c>
      <c r="E199" s="41">
        <v>1.88121214122134E-2</v>
      </c>
    </row>
    <row r="200" spans="2:6" ht="15" customHeight="1" x14ac:dyDescent="0.45">
      <c r="B200" s="38">
        <v>70</v>
      </c>
      <c r="C200" s="39">
        <v>25709.3641035</v>
      </c>
      <c r="D200" s="40">
        <v>436.01231869999998</v>
      </c>
      <c r="E200" s="41">
        <v>1.6959280554148099E-2</v>
      </c>
    </row>
    <row r="201" spans="2:6" ht="15" customHeight="1" x14ac:dyDescent="0.45">
      <c r="B201" s="38">
        <v>80</v>
      </c>
      <c r="C201" s="39">
        <v>30743.570561550001</v>
      </c>
      <c r="D201" s="40">
        <v>476.14597584285701</v>
      </c>
      <c r="E201" s="41">
        <v>1.54876602536973E-2</v>
      </c>
    </row>
    <row r="202" spans="2:6" ht="15" customHeight="1" x14ac:dyDescent="0.45">
      <c r="B202" s="38">
        <v>90</v>
      </c>
      <c r="C202" s="39">
        <v>35777.777019599998</v>
      </c>
      <c r="D202" s="40">
        <v>509.34454727142901</v>
      </c>
      <c r="E202" s="41">
        <v>1.42363385794594E-2</v>
      </c>
    </row>
    <row r="203" spans="2:6" ht="15" customHeight="1" x14ac:dyDescent="0.45">
      <c r="B203" s="38">
        <v>100</v>
      </c>
      <c r="C203" s="39">
        <v>40811.983477649999</v>
      </c>
      <c r="D203" s="40">
        <v>535.60803298571398</v>
      </c>
      <c r="E203" s="41">
        <v>1.31237932427134E-2</v>
      </c>
    </row>
    <row r="204" spans="2:6" ht="15" customHeight="1" x14ac:dyDescent="0.45">
      <c r="B204" s="38">
        <v>110</v>
      </c>
      <c r="C204" s="39">
        <v>45846.1899357</v>
      </c>
      <c r="D204" s="40">
        <v>554.93643298571396</v>
      </c>
      <c r="E204" s="41">
        <v>1.2104308640783899E-2</v>
      </c>
    </row>
    <row r="205" spans="2:6" ht="15" customHeight="1" x14ac:dyDescent="0.45">
      <c r="B205" s="38">
        <v>120</v>
      </c>
      <c r="C205" s="39">
        <v>50880.396393750001</v>
      </c>
      <c r="D205" s="40">
        <v>567.32974727142903</v>
      </c>
      <c r="E205" s="41">
        <v>1.11502619374467E-2</v>
      </c>
    </row>
    <row r="206" spans="2:6" ht="15" customHeight="1" x14ac:dyDescent="0.45">
      <c r="B206" s="38">
        <v>130</v>
      </c>
      <c r="C206" s="39">
        <v>55914.602851800002</v>
      </c>
      <c r="D206" s="40">
        <v>572.78797584285701</v>
      </c>
      <c r="E206" s="41">
        <v>1.0243978256646399E-2</v>
      </c>
    </row>
    <row r="207" spans="2:6" ht="14.25" customHeight="1" x14ac:dyDescent="0.45"/>
    <row r="208" spans="2:6" ht="15" customHeight="1" x14ac:dyDescent="0.45">
      <c r="B208" s="35" t="s">
        <v>54</v>
      </c>
      <c r="C208" s="36" t="s">
        <v>55</v>
      </c>
      <c r="D208" s="32"/>
      <c r="E208" s="32"/>
      <c r="F208" s="32"/>
    </row>
    <row r="209" spans="2:6" ht="15" customHeight="1" x14ac:dyDescent="0.45">
      <c r="B209" s="37" t="s">
        <v>123</v>
      </c>
      <c r="C209" s="37" t="s">
        <v>124</v>
      </c>
      <c r="D209" s="37" t="s">
        <v>125</v>
      </c>
      <c r="E209" s="37" t="s">
        <v>126</v>
      </c>
    </row>
    <row r="210" spans="2:6" ht="15" customHeight="1" x14ac:dyDescent="0.45">
      <c r="B210" s="38">
        <v>30</v>
      </c>
      <c r="C210" s="39">
        <v>6758.02332114</v>
      </c>
      <c r="D210" s="40">
        <v>189.99722230714301</v>
      </c>
      <c r="E210" s="41">
        <v>2.81143188294137E-2</v>
      </c>
    </row>
    <row r="211" spans="2:6" ht="15" customHeight="1" x14ac:dyDescent="0.45">
      <c r="B211" s="38">
        <v>40</v>
      </c>
      <c r="C211" s="39">
        <v>12863.191736430001</v>
      </c>
      <c r="D211" s="40">
        <v>251.80302230714301</v>
      </c>
      <c r="E211" s="41">
        <v>1.95754698730027E-2</v>
      </c>
    </row>
    <row r="212" spans="2:6" ht="15" customHeight="1" x14ac:dyDescent="0.45">
      <c r="B212" s="38">
        <v>50</v>
      </c>
      <c r="C212" s="39">
        <v>18968.36015172</v>
      </c>
      <c r="D212" s="40">
        <v>304.93996516428598</v>
      </c>
      <c r="E212" s="41">
        <v>1.6076242897393199E-2</v>
      </c>
    </row>
    <row r="213" spans="2:6" ht="15" customHeight="1" x14ac:dyDescent="0.45">
      <c r="B213" s="38">
        <v>60</v>
      </c>
      <c r="C213" s="39">
        <v>25073.528567009998</v>
      </c>
      <c r="D213" s="40">
        <v>349.40805087857098</v>
      </c>
      <c r="E213" s="41">
        <v>1.39353362230116E-2</v>
      </c>
    </row>
    <row r="214" spans="2:6" ht="15" customHeight="1" x14ac:dyDescent="0.45">
      <c r="B214" s="38">
        <v>70</v>
      </c>
      <c r="C214" s="39">
        <v>31178.6969823</v>
      </c>
      <c r="D214" s="40">
        <v>385.20727944999999</v>
      </c>
      <c r="E214" s="41">
        <v>1.2354822899388E-2</v>
      </c>
    </row>
    <row r="215" spans="2:6" ht="15" customHeight="1" x14ac:dyDescent="0.45">
      <c r="B215" s="38">
        <v>80</v>
      </c>
      <c r="C215" s="39">
        <v>37283.865397590002</v>
      </c>
      <c r="D215" s="40">
        <v>412.33765087857103</v>
      </c>
      <c r="E215" s="41">
        <v>1.1059412603319401E-2</v>
      </c>
    </row>
    <row r="216" spans="2:6" ht="15" customHeight="1" x14ac:dyDescent="0.45">
      <c r="B216" s="38">
        <v>90</v>
      </c>
      <c r="C216" s="39">
        <v>43389.033812879999</v>
      </c>
      <c r="D216" s="40">
        <v>430.79916516428602</v>
      </c>
      <c r="E216" s="41">
        <v>9.9287568149628493E-3</v>
      </c>
    </row>
    <row r="217" spans="2:6" ht="15" customHeight="1" x14ac:dyDescent="0.45">
      <c r="B217" s="38">
        <v>100</v>
      </c>
      <c r="C217" s="39">
        <v>49494.202228169997</v>
      </c>
      <c r="D217" s="40">
        <v>440.59182230714299</v>
      </c>
      <c r="E217" s="41">
        <v>8.9018875438379493E-3</v>
      </c>
    </row>
    <row r="218" spans="2:6" ht="15" customHeight="1" x14ac:dyDescent="0.45">
      <c r="B218" s="38">
        <v>110</v>
      </c>
      <c r="C218" s="39">
        <v>55599.370643460003</v>
      </c>
      <c r="D218" s="40">
        <v>441.71562230714301</v>
      </c>
      <c r="E218" s="41">
        <v>7.9446155090444493E-3</v>
      </c>
    </row>
    <row r="219" spans="2:6" ht="14.25" customHeight="1" x14ac:dyDescent="0.45"/>
    <row r="220" spans="2:6" ht="15" customHeight="1" x14ac:dyDescent="0.45">
      <c r="B220" s="35" t="s">
        <v>56</v>
      </c>
      <c r="C220" s="36" t="s">
        <v>57</v>
      </c>
      <c r="D220" s="32"/>
      <c r="E220" s="32"/>
      <c r="F220" s="32"/>
    </row>
    <row r="221" spans="2:6" ht="15" customHeight="1" x14ac:dyDescent="0.45">
      <c r="B221" s="37" t="s">
        <v>123</v>
      </c>
      <c r="C221" s="37" t="s">
        <v>124</v>
      </c>
      <c r="D221" s="37" t="s">
        <v>125</v>
      </c>
      <c r="E221" s="37" t="s">
        <v>126</v>
      </c>
    </row>
    <row r="222" spans="2:6" ht="15" customHeight="1" x14ac:dyDescent="0.45">
      <c r="B222" s="38">
        <v>30</v>
      </c>
      <c r="C222" s="39">
        <v>7715.4054432000003</v>
      </c>
      <c r="D222" s="40">
        <v>188.37772224316799</v>
      </c>
      <c r="E222" s="41">
        <v>2.4415790411791701E-2</v>
      </c>
    </row>
    <row r="223" spans="2:6" ht="15" customHeight="1" x14ac:dyDescent="0.45">
      <c r="B223" s="38">
        <v>40</v>
      </c>
      <c r="C223" s="39">
        <v>14685.4686384</v>
      </c>
      <c r="D223" s="40">
        <v>254.14104398229799</v>
      </c>
      <c r="E223" s="41">
        <v>1.7305613476832599E-2</v>
      </c>
    </row>
    <row r="224" spans="2:6" ht="15" customHeight="1" x14ac:dyDescent="0.45">
      <c r="B224" s="38">
        <v>50</v>
      </c>
      <c r="C224" s="39">
        <v>21655.531833599998</v>
      </c>
      <c r="D224" s="40">
        <v>312.36622907546598</v>
      </c>
      <c r="E224" s="41">
        <v>1.4424315758009201E-2</v>
      </c>
    </row>
    <row r="225" spans="2:6" ht="15" customHeight="1" x14ac:dyDescent="0.45">
      <c r="B225" s="38">
        <v>60</v>
      </c>
      <c r="C225" s="39">
        <v>28625.595028799999</v>
      </c>
      <c r="D225" s="40">
        <v>363.05327752267101</v>
      </c>
      <c r="E225" s="41">
        <v>1.2682820292727701E-2</v>
      </c>
    </row>
    <row r="226" spans="2:6" ht="15" customHeight="1" x14ac:dyDescent="0.45">
      <c r="B226" s="38">
        <v>70</v>
      </c>
      <c r="C226" s="39">
        <v>35595.658223999999</v>
      </c>
      <c r="D226" s="40">
        <v>406.20218932391299</v>
      </c>
      <c r="E226" s="41">
        <v>1.1411565611955299E-2</v>
      </c>
    </row>
    <row r="227" spans="2:6" ht="15" customHeight="1" x14ac:dyDescent="0.45">
      <c r="B227" s="38">
        <v>80</v>
      </c>
      <c r="C227" s="39">
        <v>42565.721419200003</v>
      </c>
      <c r="D227" s="40">
        <v>441.812964479193</v>
      </c>
      <c r="E227" s="41">
        <v>1.0379548372458801E-2</v>
      </c>
    </row>
    <row r="228" spans="2:6" ht="15" customHeight="1" x14ac:dyDescent="0.45">
      <c r="B228" s="38">
        <v>90</v>
      </c>
      <c r="C228" s="39">
        <v>49535.7846144</v>
      </c>
      <c r="D228" s="40">
        <v>469.88560298850899</v>
      </c>
      <c r="E228" s="41">
        <v>9.48578096917666E-3</v>
      </c>
    </row>
    <row r="229" spans="2:6" ht="15" customHeight="1" x14ac:dyDescent="0.45">
      <c r="B229" s="38">
        <v>100</v>
      </c>
      <c r="C229" s="39">
        <v>56505.847809600004</v>
      </c>
      <c r="D229" s="40">
        <v>490.42010485186302</v>
      </c>
      <c r="E229" s="41">
        <v>8.6791035594114899E-3</v>
      </c>
    </row>
    <row r="230" spans="2:6" ht="15" customHeight="1" x14ac:dyDescent="0.45">
      <c r="B230" s="38">
        <v>110</v>
      </c>
      <c r="C230" s="39">
        <v>63475.9110048</v>
      </c>
      <c r="D230" s="40">
        <v>503.41647006925501</v>
      </c>
      <c r="E230" s="41">
        <v>7.9308270192638402E-3</v>
      </c>
    </row>
    <row r="231" spans="2:6" ht="15" customHeight="1" x14ac:dyDescent="0.45">
      <c r="B231" s="38">
        <v>120</v>
      </c>
      <c r="C231" s="39">
        <v>70445.974199999997</v>
      </c>
      <c r="D231" s="40">
        <v>508.87469864068299</v>
      </c>
      <c r="E231" s="41">
        <v>7.2236164581379802E-3</v>
      </c>
    </row>
    <row r="232" spans="2:6" ht="14.25" customHeight="1" x14ac:dyDescent="0.45"/>
    <row r="233" spans="2:6" ht="15" customHeight="1" x14ac:dyDescent="0.45">
      <c r="B233" s="35" t="s">
        <v>58</v>
      </c>
      <c r="C233" s="36" t="s">
        <v>59</v>
      </c>
      <c r="D233" s="32"/>
      <c r="E233" s="32"/>
      <c r="F233" s="32"/>
    </row>
    <row r="234" spans="2:6" ht="15" customHeight="1" x14ac:dyDescent="0.45">
      <c r="B234" s="37" t="s">
        <v>123</v>
      </c>
      <c r="C234" s="37" t="s">
        <v>124</v>
      </c>
      <c r="D234" s="37" t="s">
        <v>125</v>
      </c>
      <c r="E234" s="37" t="s">
        <v>126</v>
      </c>
    </row>
    <row r="235" spans="2:6" ht="15" customHeight="1" x14ac:dyDescent="0.45">
      <c r="B235" s="38">
        <v>30</v>
      </c>
      <c r="C235" s="39">
        <v>8344.9911963600007</v>
      </c>
      <c r="D235" s="40">
        <v>186.66525413571401</v>
      </c>
      <c r="E235" s="41">
        <v>2.2368538173789299E-2</v>
      </c>
    </row>
    <row r="236" spans="2:6" ht="15" customHeight="1" x14ac:dyDescent="0.45">
      <c r="B236" s="38">
        <v>40</v>
      </c>
      <c r="C236" s="39">
        <v>15883.819379820001</v>
      </c>
      <c r="D236" s="40">
        <v>254.539254135714</v>
      </c>
      <c r="E236" s="41">
        <v>1.60250660152369E-2</v>
      </c>
    </row>
    <row r="237" spans="2:6" ht="15" customHeight="1" x14ac:dyDescent="0.45">
      <c r="B237" s="38">
        <v>50</v>
      </c>
      <c r="C237" s="39">
        <v>23422.647563279999</v>
      </c>
      <c r="D237" s="40">
        <v>315.47816842142902</v>
      </c>
      <c r="E237" s="41">
        <v>1.34689371715607E-2</v>
      </c>
    </row>
    <row r="238" spans="2:6" ht="15" customHeight="1" x14ac:dyDescent="0.45">
      <c r="B238" s="38">
        <v>60</v>
      </c>
      <c r="C238" s="39">
        <v>30961.475746740001</v>
      </c>
      <c r="D238" s="40">
        <v>369.48199699285698</v>
      </c>
      <c r="E238" s="41">
        <v>1.19336041994626E-2</v>
      </c>
    </row>
    <row r="239" spans="2:6" ht="15" customHeight="1" x14ac:dyDescent="0.45">
      <c r="B239" s="38">
        <v>70</v>
      </c>
      <c r="C239" s="39">
        <v>38500.303930200003</v>
      </c>
      <c r="D239" s="40">
        <v>416.55073985000001</v>
      </c>
      <c r="E239" s="41">
        <v>1.08194143247595E-2</v>
      </c>
    </row>
    <row r="240" spans="2:6" ht="15" customHeight="1" x14ac:dyDescent="0.45">
      <c r="B240" s="38">
        <v>80</v>
      </c>
      <c r="C240" s="39">
        <v>46039.132113660002</v>
      </c>
      <c r="D240" s="40">
        <v>456.68439699285699</v>
      </c>
      <c r="E240" s="41">
        <v>9.9194831880281501E-3</v>
      </c>
    </row>
    <row r="241" spans="2:6" ht="15" customHeight="1" x14ac:dyDescent="0.45">
      <c r="B241" s="38">
        <v>90</v>
      </c>
      <c r="C241" s="39">
        <v>53577.96029712</v>
      </c>
      <c r="D241" s="40">
        <v>489.88296842142898</v>
      </c>
      <c r="E241" s="41">
        <v>9.1433672671514792E-3</v>
      </c>
    </row>
    <row r="242" spans="2:6" ht="15" customHeight="1" x14ac:dyDescent="0.45">
      <c r="B242" s="38">
        <v>100</v>
      </c>
      <c r="C242" s="39">
        <v>61116.788480579999</v>
      </c>
      <c r="D242" s="40">
        <v>516.14645413571395</v>
      </c>
      <c r="E242" s="41">
        <v>8.4452483019411499E-3</v>
      </c>
    </row>
    <row r="243" spans="2:6" ht="15" customHeight="1" x14ac:dyDescent="0.45">
      <c r="B243" s="38">
        <v>110</v>
      </c>
      <c r="C243" s="39">
        <v>68655.616664040004</v>
      </c>
      <c r="D243" s="40">
        <v>535.47485413571405</v>
      </c>
      <c r="E243" s="41">
        <v>7.7994325905775697E-3</v>
      </c>
    </row>
    <row r="244" spans="2:6" ht="15" customHeight="1" x14ac:dyDescent="0.45">
      <c r="B244" s="38">
        <v>120</v>
      </c>
      <c r="C244" s="39">
        <v>76194.444847499995</v>
      </c>
      <c r="D244" s="40">
        <v>547.868168421429</v>
      </c>
      <c r="E244" s="41">
        <v>7.1903951727447296E-3</v>
      </c>
    </row>
    <row r="245" spans="2:6" ht="15" customHeight="1" x14ac:dyDescent="0.45">
      <c r="B245" s="38">
        <v>130</v>
      </c>
      <c r="C245" s="39">
        <v>83733.273030960001</v>
      </c>
      <c r="D245" s="40">
        <v>553.32639699285698</v>
      </c>
      <c r="E245" s="41">
        <v>6.6082021753558701E-3</v>
      </c>
    </row>
    <row r="246" spans="2:6" ht="14.25" customHeight="1" x14ac:dyDescent="0.45"/>
    <row r="247" spans="2:6" ht="15" customHeight="1" x14ac:dyDescent="0.45">
      <c r="B247" s="35" t="s">
        <v>60</v>
      </c>
      <c r="C247" s="36" t="s">
        <v>61</v>
      </c>
      <c r="D247" s="32"/>
      <c r="E247" s="32"/>
      <c r="F247" s="32"/>
    </row>
    <row r="248" spans="2:6" ht="15" customHeight="1" x14ac:dyDescent="0.45">
      <c r="B248" s="37" t="s">
        <v>123</v>
      </c>
      <c r="C248" s="37" t="s">
        <v>124</v>
      </c>
      <c r="D248" s="37" t="s">
        <v>125</v>
      </c>
      <c r="E248" s="37" t="s">
        <v>126</v>
      </c>
    </row>
    <row r="249" spans="2:6" ht="15" customHeight="1" x14ac:dyDescent="0.45">
      <c r="B249" s="38">
        <v>30</v>
      </c>
      <c r="C249" s="39">
        <v>9891.3231580800002</v>
      </c>
      <c r="D249" s="40">
        <v>181.006414221429</v>
      </c>
      <c r="E249" s="41">
        <v>1.8299514769524901E-2</v>
      </c>
    </row>
    <row r="250" spans="2:6" ht="15" customHeight="1" x14ac:dyDescent="0.45">
      <c r="B250" s="38">
        <v>40</v>
      </c>
      <c r="C250" s="39">
        <v>18827.100804959999</v>
      </c>
      <c r="D250" s="40">
        <v>252.92588088809501</v>
      </c>
      <c r="E250" s="41">
        <v>1.34341385595313E-2</v>
      </c>
    </row>
    <row r="251" spans="2:6" ht="15" customHeight="1" x14ac:dyDescent="0.45">
      <c r="B251" s="38">
        <v>50</v>
      </c>
      <c r="C251" s="39">
        <v>27762.878451839999</v>
      </c>
      <c r="D251" s="40">
        <v>319.066109459524</v>
      </c>
      <c r="E251" s="41">
        <v>1.1492544262404401E-2</v>
      </c>
    </row>
    <row r="252" spans="2:6" ht="15" customHeight="1" x14ac:dyDescent="0.45">
      <c r="B252" s="38">
        <v>60</v>
      </c>
      <c r="C252" s="39">
        <v>36698.656098719999</v>
      </c>
      <c r="D252" s="40">
        <v>379.42709993571401</v>
      </c>
      <c r="E252" s="41">
        <v>1.03389916762905E-2</v>
      </c>
    </row>
    <row r="253" spans="2:6" ht="15" customHeight="1" x14ac:dyDescent="0.45">
      <c r="B253" s="38">
        <v>70</v>
      </c>
      <c r="C253" s="39">
        <v>45634.433745599999</v>
      </c>
      <c r="D253" s="40">
        <v>434.008852316667</v>
      </c>
      <c r="E253" s="41">
        <v>9.5105563210480994E-3</v>
      </c>
    </row>
    <row r="254" spans="2:6" ht="15" customHeight="1" x14ac:dyDescent="0.45">
      <c r="B254" s="38">
        <v>80</v>
      </c>
      <c r="C254" s="39">
        <v>54570.21139248</v>
      </c>
      <c r="D254" s="40">
        <v>482.81136660238099</v>
      </c>
      <c r="E254" s="41">
        <v>8.8475260454811896E-3</v>
      </c>
    </row>
    <row r="255" spans="2:6" ht="15" customHeight="1" x14ac:dyDescent="0.45">
      <c r="B255" s="38">
        <v>90</v>
      </c>
      <c r="C255" s="39">
        <v>63505.98903936</v>
      </c>
      <c r="D255" s="40">
        <v>525.83464279285704</v>
      </c>
      <c r="E255" s="41">
        <v>8.2800795759113907E-3</v>
      </c>
    </row>
    <row r="256" spans="2:6" ht="15" customHeight="1" x14ac:dyDescent="0.45">
      <c r="B256" s="38">
        <v>100</v>
      </c>
      <c r="C256" s="39">
        <v>72441.766686239993</v>
      </c>
      <c r="D256" s="40">
        <v>563.07868088809505</v>
      </c>
      <c r="E256" s="41">
        <v>7.7728457855936002E-3</v>
      </c>
    </row>
    <row r="257" spans="2:6" ht="15" customHeight="1" x14ac:dyDescent="0.45">
      <c r="B257" s="38">
        <v>110</v>
      </c>
      <c r="C257" s="39">
        <v>81377.544333119993</v>
      </c>
      <c r="D257" s="40">
        <v>594.54348088809502</v>
      </c>
      <c r="E257" s="41">
        <v>7.3059894564319102E-3</v>
      </c>
    </row>
    <row r="258" spans="2:6" ht="15" customHeight="1" x14ac:dyDescent="0.45">
      <c r="B258" s="38">
        <v>120</v>
      </c>
      <c r="C258" s="39">
        <v>90313.321979999993</v>
      </c>
      <c r="D258" s="40">
        <v>620.22904279285694</v>
      </c>
      <c r="E258" s="41">
        <v>6.8675255122406798E-3</v>
      </c>
    </row>
    <row r="259" spans="2:6" ht="15" customHeight="1" x14ac:dyDescent="0.45">
      <c r="B259" s="38">
        <v>130</v>
      </c>
      <c r="C259" s="39">
        <v>99249.099626879994</v>
      </c>
      <c r="D259" s="40">
        <v>640.13536660238105</v>
      </c>
      <c r="E259" s="41">
        <v>6.4497851266049301E-3</v>
      </c>
    </row>
    <row r="260" spans="2:6" ht="15" customHeight="1" x14ac:dyDescent="0.45">
      <c r="B260" s="38">
        <v>140</v>
      </c>
      <c r="C260" s="39">
        <v>108184.87727375999</v>
      </c>
      <c r="D260" s="40">
        <v>654.26245231666701</v>
      </c>
      <c r="E260" s="41">
        <v>6.0476331702171903E-3</v>
      </c>
    </row>
    <row r="261" spans="2:6" ht="15" customHeight="1" x14ac:dyDescent="0.45">
      <c r="B261" s="38">
        <v>150</v>
      </c>
      <c r="C261" s="39">
        <v>117120.65492063999</v>
      </c>
      <c r="D261" s="40">
        <v>662.61029993571401</v>
      </c>
      <c r="E261" s="41">
        <v>5.6575016625777397E-3</v>
      </c>
    </row>
    <row r="262" spans="2:6" ht="15" customHeight="1" x14ac:dyDescent="0.45">
      <c r="B262" s="38">
        <v>160</v>
      </c>
      <c r="C262" s="39">
        <v>126056.43256751999</v>
      </c>
      <c r="D262" s="40">
        <v>665.17890945952399</v>
      </c>
      <c r="E262" s="41">
        <v>5.2768343186551199E-3</v>
      </c>
    </row>
    <row r="263" spans="2:6" ht="14.25" customHeight="1" x14ac:dyDescent="0.45"/>
    <row r="264" spans="2:6" ht="15" customHeight="1" x14ac:dyDescent="0.45">
      <c r="B264" s="35" t="s">
        <v>62</v>
      </c>
      <c r="C264" s="36" t="s">
        <v>63</v>
      </c>
      <c r="D264" s="32"/>
      <c r="E264" s="32"/>
      <c r="F264" s="32"/>
    </row>
    <row r="265" spans="2:6" ht="15" customHeight="1" x14ac:dyDescent="0.45">
      <c r="B265" s="37" t="s">
        <v>123</v>
      </c>
      <c r="C265" s="37" t="s">
        <v>124</v>
      </c>
      <c r="D265" s="37" t="s">
        <v>125</v>
      </c>
      <c r="E265" s="37" t="s">
        <v>126</v>
      </c>
    </row>
    <row r="266" spans="2:6" ht="15" customHeight="1" x14ac:dyDescent="0.45">
      <c r="B266" s="38">
        <v>30</v>
      </c>
      <c r="C266" s="39">
        <v>11398.10283066</v>
      </c>
      <c r="D266" s="40">
        <v>174.15808536122501</v>
      </c>
      <c r="E266" s="41">
        <v>1.5279567832354801E-2</v>
      </c>
    </row>
    <row r="267" spans="2:6" ht="15" customHeight="1" x14ac:dyDescent="0.45">
      <c r="B267" s="38">
        <v>40</v>
      </c>
      <c r="C267" s="39">
        <v>21695.09857767</v>
      </c>
      <c r="D267" s="40">
        <v>248.96717107551001</v>
      </c>
      <c r="E267" s="41">
        <v>1.1475733571073199E-2</v>
      </c>
    </row>
    <row r="268" spans="2:6" ht="15" customHeight="1" x14ac:dyDescent="0.45">
      <c r="B268" s="38">
        <v>50</v>
      </c>
      <c r="C268" s="39">
        <v>31992.094324680002</v>
      </c>
      <c r="D268" s="40">
        <v>318.82262413673499</v>
      </c>
      <c r="E268" s="41">
        <v>9.9656690462675401E-3</v>
      </c>
    </row>
    <row r="269" spans="2:6" ht="15" customHeight="1" x14ac:dyDescent="0.45">
      <c r="B269" s="38">
        <v>60</v>
      </c>
      <c r="C269" s="39">
        <v>42289.09007169</v>
      </c>
      <c r="D269" s="40">
        <v>383.72444454489801</v>
      </c>
      <c r="E269" s="41">
        <v>9.0738401770857294E-3</v>
      </c>
    </row>
    <row r="270" spans="2:6" ht="15" customHeight="1" x14ac:dyDescent="0.45">
      <c r="B270" s="38">
        <v>70</v>
      </c>
      <c r="C270" s="39">
        <v>52586.085818699998</v>
      </c>
      <c r="D270" s="40">
        <v>443.67263229999998</v>
      </c>
      <c r="E270" s="41">
        <v>8.4370727615978407E-3</v>
      </c>
    </row>
    <row r="271" spans="2:6" ht="15" customHeight="1" x14ac:dyDescent="0.45">
      <c r="B271" s="38">
        <v>80</v>
      </c>
      <c r="C271" s="39">
        <v>62883.081565710003</v>
      </c>
      <c r="D271" s="40">
        <v>498.66718740204101</v>
      </c>
      <c r="E271" s="41">
        <v>7.9300691853174503E-3</v>
      </c>
    </row>
    <row r="272" spans="2:6" ht="15" customHeight="1" x14ac:dyDescent="0.45">
      <c r="B272" s="38">
        <v>90</v>
      </c>
      <c r="C272" s="39">
        <v>73180.077312719994</v>
      </c>
      <c r="D272" s="40">
        <v>548.70810985102003</v>
      </c>
      <c r="E272" s="41">
        <v>7.4980531587337503E-3</v>
      </c>
    </row>
    <row r="273" spans="2:5" ht="15" customHeight="1" x14ac:dyDescent="0.45">
      <c r="B273" s="38">
        <v>100</v>
      </c>
      <c r="C273" s="39">
        <v>83477.073059729999</v>
      </c>
      <c r="D273" s="40">
        <v>593.79539964693902</v>
      </c>
      <c r="E273" s="41">
        <v>7.1132752728651997E-3</v>
      </c>
    </row>
    <row r="274" spans="2:5" ht="15" customHeight="1" x14ac:dyDescent="0.45">
      <c r="B274" s="38">
        <v>110</v>
      </c>
      <c r="C274" s="39">
        <v>93774.068806740004</v>
      </c>
      <c r="D274" s="40">
        <v>633.92905678979605</v>
      </c>
      <c r="E274" s="41">
        <v>6.7601743728990501E-3</v>
      </c>
    </row>
    <row r="275" spans="2:5" ht="15" customHeight="1" x14ac:dyDescent="0.45">
      <c r="B275" s="38">
        <v>120</v>
      </c>
      <c r="C275" s="39">
        <v>104071.06455374999</v>
      </c>
      <c r="D275" s="40">
        <v>669.10908127959203</v>
      </c>
      <c r="E275" s="41">
        <v>6.4293479090339698E-3</v>
      </c>
    </row>
    <row r="276" spans="2:5" ht="15" customHeight="1" x14ac:dyDescent="0.45">
      <c r="B276" s="38">
        <v>130</v>
      </c>
      <c r="C276" s="39">
        <v>114368.06030076</v>
      </c>
      <c r="D276" s="40">
        <v>699.33547311632697</v>
      </c>
      <c r="E276" s="41">
        <v>6.1147795221606904E-3</v>
      </c>
    </row>
    <row r="277" spans="2:5" ht="15" customHeight="1" x14ac:dyDescent="0.45">
      <c r="B277" s="38">
        <v>140</v>
      </c>
      <c r="C277" s="39">
        <v>124665.05604777001</v>
      </c>
      <c r="D277" s="40">
        <v>724.60823230000005</v>
      </c>
      <c r="E277" s="41">
        <v>5.81244059299456E-3</v>
      </c>
    </row>
    <row r="278" spans="2:5" ht="15" customHeight="1" x14ac:dyDescent="0.45">
      <c r="B278" s="38">
        <v>150</v>
      </c>
      <c r="C278" s="39">
        <v>134962.05179478001</v>
      </c>
      <c r="D278" s="40">
        <v>744.92735883061198</v>
      </c>
      <c r="E278" s="41">
        <v>5.5195319641652401E-3</v>
      </c>
    </row>
    <row r="279" spans="2:5" ht="15" customHeight="1" x14ac:dyDescent="0.45">
      <c r="B279" s="38">
        <v>160</v>
      </c>
      <c r="C279" s="39">
        <v>145259.04754179</v>
      </c>
      <c r="D279" s="40">
        <v>760.29285270816297</v>
      </c>
      <c r="E279" s="41">
        <v>5.2340481751364399E-3</v>
      </c>
    </row>
    <row r="280" spans="2:5" ht="15" customHeight="1" x14ac:dyDescent="0.45">
      <c r="B280" s="38">
        <v>170</v>
      </c>
      <c r="C280" s="39">
        <v>155556.04328879999</v>
      </c>
      <c r="D280" s="40">
        <v>770.70471393265302</v>
      </c>
      <c r="E280" s="41">
        <v>4.9545147693284396E-3</v>
      </c>
    </row>
    <row r="281" spans="2:5" ht="15" customHeight="1" x14ac:dyDescent="0.45">
      <c r="B281" s="38">
        <v>180</v>
      </c>
      <c r="C281" s="39">
        <v>165853.03903581001</v>
      </c>
      <c r="D281" s="40">
        <v>776.16294250408203</v>
      </c>
      <c r="E281" s="41">
        <v>4.67982345705765E-3</v>
      </c>
    </row>
    <row r="282" spans="2:5" ht="15" customHeight="1" x14ac:dyDescent="0.45">
      <c r="B282" s="38">
        <v>190</v>
      </c>
      <c r="C282" s="39">
        <v>176150.03478282</v>
      </c>
      <c r="D282" s="40">
        <v>776.66753842244896</v>
      </c>
      <c r="E282" s="41">
        <v>4.4091250925951996E-3</v>
      </c>
    </row>
  </sheetData>
  <mergeCells count="27">
    <mergeCell ref="C233:F233"/>
    <mergeCell ref="C247:F247"/>
    <mergeCell ref="C264:F264"/>
    <mergeCell ref="C156:F156"/>
    <mergeCell ref="C168:F168"/>
    <mergeCell ref="C180:F180"/>
    <mergeCell ref="C194:F194"/>
    <mergeCell ref="C208:F208"/>
    <mergeCell ref="C220:F220"/>
    <mergeCell ref="C95:F95"/>
    <mergeCell ref="C104:F104"/>
    <mergeCell ref="C113:F113"/>
    <mergeCell ref="C125:F125"/>
    <mergeCell ref="C136:F136"/>
    <mergeCell ref="C146:F146"/>
    <mergeCell ref="C37:F37"/>
    <mergeCell ref="C47:F47"/>
    <mergeCell ref="C57:F57"/>
    <mergeCell ref="C69:F69"/>
    <mergeCell ref="C81:F81"/>
    <mergeCell ref="C88:F88"/>
    <mergeCell ref="B2:F2"/>
    <mergeCell ref="B3:F3"/>
    <mergeCell ref="C5:F5"/>
    <mergeCell ref="C12:F12"/>
    <mergeCell ref="C19:F19"/>
    <mergeCell ref="C28:F28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UPRIGHT_MASTER</vt:lpstr>
      <vt:lpstr>BEAM_MASTER</vt:lpstr>
      <vt:lpstr>BRACING_MASTER</vt:lpstr>
      <vt:lpstr>BASE_STIFFNESS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Nuumaan Khasim</dc:creator>
  <cp:lastModifiedBy>Nuumaan Khasim</cp:lastModifiedBy>
  <dcterms:created xsi:type="dcterms:W3CDTF">2026-06-05T11:46:24Z</dcterms:created>
  <dcterms:modified xsi:type="dcterms:W3CDTF">2026-06-12T11:21:55Z</dcterms:modified>
</cp:coreProperties>
</file>