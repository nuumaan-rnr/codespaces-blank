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245" documentId="8_{82E0F64D-198F-4C07-A8CA-4EE4E83DFDEB}" xr6:coauthVersionLast="47" xr6:coauthVersionMax="47" xr10:uidLastSave="{484C7EED-E18E-42F9-8730-EBA927583984}"/>
  <bookViews>
    <workbookView xWindow="-98" yWindow="-98" windowWidth="24196" windowHeight="14476" tabRatio="760" activeTab="24" xr2:uid="{00000000-000D-0000-FFFF-FFFF00000000}"/>
  </bookViews>
  <sheets>
    <sheet name="UP0002-eff" sheetId="2" r:id="rId1"/>
    <sheet name="UP0003-eff" sheetId="3" r:id="rId2"/>
    <sheet name="UP0004-eff" sheetId="16" r:id="rId3"/>
    <sheet name="UP0005-eff" sheetId="4" r:id="rId4"/>
    <sheet name="UP0006-eff" sheetId="8" r:id="rId5"/>
    <sheet name="UP0007-eff" sheetId="25" r:id="rId6"/>
    <sheet name="UP0008-eff" sheetId="10" r:id="rId7"/>
    <sheet name="UP0009-eff" sheetId="28" r:id="rId8"/>
    <sheet name="UP0010-eff" sheetId="53" r:id="rId9"/>
    <sheet name="UP0011-eff" sheetId="54" r:id="rId10"/>
    <sheet name="UP0012-eff" sheetId="55" r:id="rId11"/>
    <sheet name="UP0013-eff" sheetId="56" r:id="rId12"/>
    <sheet name="UP0014-eff" sheetId="57" r:id="rId13"/>
    <sheet name="UP0015-eff" sheetId="58" r:id="rId14"/>
    <sheet name="UP0016-eff" sheetId="59" r:id="rId15"/>
    <sheet name="UP0017-eff" sheetId="60" r:id="rId16"/>
    <sheet name="UP0018-eff" sheetId="61" r:id="rId17"/>
    <sheet name="UP0019-eff" sheetId="62" r:id="rId18"/>
    <sheet name="UP0020-eff" sheetId="63" r:id="rId19"/>
    <sheet name="UP0021-eff" sheetId="64" r:id="rId20"/>
    <sheet name="UP0022-eff" sheetId="65" r:id="rId21"/>
    <sheet name="UP0023-eff" sheetId="66" r:id="rId22"/>
    <sheet name="UP0024-eff" sheetId="67" r:id="rId23"/>
    <sheet name="UP0025-eff" sheetId="68" r:id="rId24"/>
    <sheet name="UP0026-eff" sheetId="69" r:id="rId2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0" i="69" l="1"/>
  <c r="I250" i="69"/>
  <c r="J249" i="69"/>
  <c r="I249" i="69"/>
  <c r="J248" i="69"/>
  <c r="I248" i="69"/>
  <c r="J247" i="69"/>
  <c r="I247" i="69"/>
  <c r="J246" i="69"/>
  <c r="I246" i="69"/>
  <c r="J245" i="69"/>
  <c r="I245" i="69"/>
  <c r="J244" i="69"/>
  <c r="I244" i="69"/>
  <c r="J243" i="69"/>
  <c r="I243" i="69"/>
  <c r="J242" i="69"/>
  <c r="I242" i="69"/>
  <c r="J241" i="69"/>
  <c r="I241" i="69"/>
  <c r="J240" i="69"/>
  <c r="I240" i="69"/>
  <c r="J239" i="69"/>
  <c r="I239" i="69"/>
  <c r="J238" i="69"/>
  <c r="I238" i="69"/>
  <c r="J237" i="69"/>
  <c r="I237" i="69"/>
  <c r="J236" i="69"/>
  <c r="I236" i="69"/>
  <c r="J235" i="69"/>
  <c r="I235" i="69"/>
  <c r="J234" i="69"/>
  <c r="I234" i="69"/>
  <c r="J233" i="69"/>
  <c r="I233" i="69"/>
  <c r="J232" i="69"/>
  <c r="I232" i="69"/>
  <c r="J231" i="69"/>
  <c r="I231" i="69"/>
  <c r="J230" i="69"/>
  <c r="I230" i="69"/>
  <c r="J229" i="69"/>
  <c r="I229" i="69"/>
  <c r="J228" i="69"/>
  <c r="I228" i="69"/>
  <c r="J227" i="69"/>
  <c r="I227" i="69"/>
  <c r="J226" i="69"/>
  <c r="I226" i="69"/>
  <c r="J225" i="69"/>
  <c r="I225" i="69"/>
  <c r="J224" i="69"/>
  <c r="I224" i="69"/>
  <c r="J223" i="69"/>
  <c r="I223" i="69"/>
  <c r="J222" i="69"/>
  <c r="I222" i="69"/>
  <c r="J221" i="69"/>
  <c r="I221" i="69"/>
  <c r="J220" i="69"/>
  <c r="I220" i="69"/>
  <c r="J219" i="69"/>
  <c r="I219" i="69"/>
  <c r="J218" i="69"/>
  <c r="I218" i="69"/>
  <c r="J217" i="69"/>
  <c r="I217" i="69"/>
  <c r="J216" i="69"/>
  <c r="I216" i="69"/>
  <c r="J215" i="69"/>
  <c r="I215" i="69"/>
  <c r="J214" i="69"/>
  <c r="I214" i="69"/>
  <c r="J213" i="69"/>
  <c r="I213" i="69"/>
  <c r="J212" i="69"/>
  <c r="I212" i="69"/>
  <c r="J211" i="69"/>
  <c r="I211" i="69"/>
  <c r="J210" i="69"/>
  <c r="I210" i="69"/>
  <c r="J209" i="69"/>
  <c r="I209" i="69"/>
  <c r="J208" i="69"/>
  <c r="I208" i="69"/>
  <c r="J207" i="69"/>
  <c r="I207" i="69"/>
  <c r="J206" i="69"/>
  <c r="I206" i="69"/>
  <c r="J205" i="69"/>
  <c r="I205" i="69"/>
  <c r="J204" i="69"/>
  <c r="I204" i="69"/>
  <c r="J203" i="69"/>
  <c r="I203" i="69"/>
  <c r="J202" i="69"/>
  <c r="I202" i="69"/>
  <c r="J201" i="69"/>
  <c r="I201" i="69"/>
  <c r="J200" i="69"/>
  <c r="I200" i="69"/>
  <c r="J199" i="69"/>
  <c r="I199" i="69"/>
  <c r="J198" i="69"/>
  <c r="I198" i="69"/>
  <c r="J197" i="69"/>
  <c r="I197" i="69"/>
  <c r="J196" i="69"/>
  <c r="I196" i="69"/>
  <c r="J195" i="69"/>
  <c r="I195" i="69"/>
  <c r="J194" i="69"/>
  <c r="I194" i="69"/>
  <c r="J193" i="69"/>
  <c r="I193" i="69"/>
  <c r="J192" i="69"/>
  <c r="I192" i="69"/>
  <c r="J191" i="69"/>
  <c r="I191" i="69"/>
  <c r="J190" i="69"/>
  <c r="I190" i="69"/>
  <c r="J189" i="69"/>
  <c r="I189" i="69"/>
  <c r="J188" i="69"/>
  <c r="I188" i="69"/>
  <c r="J187" i="69"/>
  <c r="I187" i="69"/>
  <c r="J186" i="69"/>
  <c r="I186" i="69"/>
  <c r="J185" i="69"/>
  <c r="I185" i="69"/>
  <c r="J184" i="69"/>
  <c r="I184" i="69"/>
  <c r="J183" i="69"/>
  <c r="I183" i="69"/>
  <c r="J182" i="69"/>
  <c r="I182" i="69"/>
  <c r="J181" i="69"/>
  <c r="I181" i="69"/>
  <c r="J180" i="69"/>
  <c r="I180" i="69"/>
  <c r="J179" i="69"/>
  <c r="I179" i="69"/>
  <c r="J178" i="69"/>
  <c r="I178" i="69"/>
  <c r="J177" i="69"/>
  <c r="I177" i="69"/>
  <c r="J176" i="69"/>
  <c r="I176" i="69"/>
  <c r="J175" i="69"/>
  <c r="I175" i="69"/>
  <c r="J174" i="69"/>
  <c r="I174" i="69"/>
  <c r="J173" i="69"/>
  <c r="I173" i="69"/>
  <c r="J172" i="69"/>
  <c r="I172" i="69"/>
  <c r="J171" i="69"/>
  <c r="I171" i="69"/>
  <c r="J170" i="69"/>
  <c r="I170" i="69"/>
  <c r="J169" i="69"/>
  <c r="I169" i="69"/>
  <c r="J168" i="69"/>
  <c r="I168" i="69"/>
  <c r="J167" i="69"/>
  <c r="I167" i="69"/>
  <c r="J166" i="69"/>
  <c r="I166" i="69"/>
  <c r="J165" i="69"/>
  <c r="I165" i="69"/>
  <c r="J164" i="69"/>
  <c r="I164" i="69"/>
  <c r="J163" i="69"/>
  <c r="I163" i="69"/>
  <c r="J162" i="69"/>
  <c r="I162" i="69"/>
  <c r="J161" i="69"/>
  <c r="I161" i="69"/>
  <c r="J160" i="69"/>
  <c r="I160" i="69"/>
  <c r="J159" i="69"/>
  <c r="I159" i="69"/>
  <c r="J158" i="69"/>
  <c r="I158" i="69"/>
  <c r="J157" i="69"/>
  <c r="I157" i="69"/>
  <c r="J156" i="69"/>
  <c r="I156" i="69"/>
  <c r="J155" i="69"/>
  <c r="I155" i="69"/>
  <c r="J154" i="69"/>
  <c r="I154" i="69"/>
  <c r="J153" i="69"/>
  <c r="I153" i="69"/>
  <c r="J152" i="69"/>
  <c r="I152" i="69"/>
  <c r="J151" i="69"/>
  <c r="I151" i="69"/>
  <c r="J150" i="69"/>
  <c r="I150" i="69"/>
  <c r="J149" i="69"/>
  <c r="I149" i="69"/>
  <c r="J148" i="69"/>
  <c r="I148" i="69"/>
  <c r="J147" i="69"/>
  <c r="I147" i="69"/>
  <c r="J146" i="69"/>
  <c r="I146" i="69"/>
  <c r="J145" i="69"/>
  <c r="I145" i="69"/>
  <c r="J144" i="69"/>
  <c r="I144" i="69"/>
  <c r="J143" i="69"/>
  <c r="I143" i="69"/>
  <c r="J142" i="69"/>
  <c r="I142" i="69"/>
  <c r="J141" i="69"/>
  <c r="I141" i="69"/>
  <c r="J140" i="69"/>
  <c r="I140" i="69"/>
  <c r="J139" i="69"/>
  <c r="I139" i="69"/>
  <c r="J138" i="69"/>
  <c r="I138" i="69"/>
  <c r="J137" i="69"/>
  <c r="I137" i="69"/>
  <c r="J136" i="69"/>
  <c r="I136" i="69"/>
  <c r="J135" i="69"/>
  <c r="I135" i="69"/>
  <c r="J134" i="69"/>
  <c r="I134" i="69"/>
  <c r="J133" i="69"/>
  <c r="I133" i="69"/>
  <c r="J132" i="69"/>
  <c r="I132" i="69"/>
  <c r="J131" i="69"/>
  <c r="I131" i="69"/>
  <c r="J130" i="69"/>
  <c r="I130" i="69"/>
  <c r="J129" i="69"/>
  <c r="I129" i="69"/>
  <c r="J128" i="69"/>
  <c r="I128" i="69"/>
  <c r="J127" i="69"/>
  <c r="I127" i="69"/>
  <c r="J126" i="69"/>
  <c r="I126" i="69"/>
  <c r="J125" i="69"/>
  <c r="I125" i="69"/>
  <c r="J124" i="69"/>
  <c r="I124" i="69"/>
  <c r="J123" i="69"/>
  <c r="I123" i="69"/>
  <c r="J122" i="69"/>
  <c r="I122" i="69"/>
  <c r="J121" i="69"/>
  <c r="I121" i="69"/>
  <c r="J120" i="69"/>
  <c r="I120" i="69"/>
  <c r="J119" i="69"/>
  <c r="I119" i="69"/>
  <c r="J118" i="69"/>
  <c r="I118" i="69"/>
  <c r="J117" i="69"/>
  <c r="I117" i="69"/>
  <c r="J116" i="69"/>
  <c r="I116" i="69"/>
  <c r="J115" i="69"/>
  <c r="I115" i="69"/>
  <c r="J114" i="69"/>
  <c r="I114" i="69"/>
  <c r="J113" i="69"/>
  <c r="I113" i="69"/>
  <c r="J112" i="69"/>
  <c r="I112" i="69"/>
  <c r="J111" i="69"/>
  <c r="I111" i="69"/>
  <c r="J110" i="69"/>
  <c r="I110" i="69"/>
  <c r="J109" i="69"/>
  <c r="I109" i="69"/>
  <c r="J108" i="69"/>
  <c r="I108" i="69"/>
  <c r="J107" i="69"/>
  <c r="I107" i="69"/>
  <c r="J106" i="69"/>
  <c r="I106" i="69"/>
  <c r="J105" i="69"/>
  <c r="I105" i="69"/>
  <c r="J104" i="69"/>
  <c r="I104" i="69"/>
  <c r="J103" i="69"/>
  <c r="I103" i="69"/>
  <c r="J102" i="69"/>
  <c r="I102" i="69"/>
  <c r="J101" i="69"/>
  <c r="I101" i="69"/>
  <c r="J100" i="69"/>
  <c r="I100" i="69"/>
  <c r="J99" i="69"/>
  <c r="I99" i="69"/>
  <c r="J98" i="69"/>
  <c r="I98" i="69"/>
  <c r="J97" i="69"/>
  <c r="I97" i="69"/>
  <c r="J96" i="69"/>
  <c r="I96" i="69"/>
  <c r="J95" i="69"/>
  <c r="I95" i="69"/>
  <c r="J94" i="69"/>
  <c r="I94" i="69"/>
  <c r="J93" i="69"/>
  <c r="I93" i="69"/>
  <c r="J92" i="69"/>
  <c r="I92" i="69"/>
  <c r="J91" i="69"/>
  <c r="I91" i="69"/>
  <c r="J90" i="69"/>
  <c r="I90" i="69"/>
  <c r="J89" i="69"/>
  <c r="I89" i="69"/>
  <c r="J88" i="69"/>
  <c r="I88" i="69"/>
  <c r="J87" i="69"/>
  <c r="I87" i="69"/>
  <c r="J86" i="69"/>
  <c r="I86" i="69"/>
  <c r="J85" i="69"/>
  <c r="I85" i="69"/>
  <c r="J84" i="69"/>
  <c r="I84" i="69"/>
  <c r="J83" i="69"/>
  <c r="I83" i="69"/>
  <c r="J82" i="69"/>
  <c r="I82" i="69"/>
  <c r="J81" i="69"/>
  <c r="I81" i="69"/>
  <c r="J80" i="69"/>
  <c r="I80" i="69"/>
  <c r="J79" i="69"/>
  <c r="I79" i="69"/>
  <c r="J78" i="69"/>
  <c r="I78" i="69"/>
  <c r="J77" i="69"/>
  <c r="I77" i="69"/>
  <c r="J76" i="69"/>
  <c r="I76" i="69"/>
  <c r="J75" i="69"/>
  <c r="I75" i="69"/>
  <c r="J74" i="69"/>
  <c r="I74" i="69"/>
  <c r="J73" i="69"/>
  <c r="I73" i="69"/>
  <c r="J72" i="69"/>
  <c r="I72" i="69"/>
  <c r="J71" i="69"/>
  <c r="I71" i="69"/>
  <c r="J70" i="69"/>
  <c r="I70" i="69"/>
  <c r="J69" i="69"/>
  <c r="I69" i="69"/>
  <c r="J68" i="69"/>
  <c r="I68" i="69"/>
  <c r="J67" i="69"/>
  <c r="I67" i="69"/>
  <c r="J66" i="69"/>
  <c r="I66" i="69"/>
  <c r="J65" i="69"/>
  <c r="I65" i="69"/>
  <c r="J64" i="69"/>
  <c r="I64" i="69"/>
  <c r="J63" i="69"/>
  <c r="I63" i="69"/>
  <c r="J62" i="69"/>
  <c r="I62" i="69"/>
  <c r="J61" i="69"/>
  <c r="I61" i="69"/>
  <c r="J60" i="69"/>
  <c r="I60" i="69"/>
  <c r="J59" i="69"/>
  <c r="I59" i="69"/>
  <c r="J58" i="69"/>
  <c r="I58" i="69"/>
  <c r="J57" i="69"/>
  <c r="I57" i="69"/>
  <c r="J56" i="69"/>
  <c r="I56" i="69"/>
  <c r="J55" i="69"/>
  <c r="I55" i="69"/>
  <c r="J54" i="69"/>
  <c r="I54" i="69"/>
  <c r="J53" i="69"/>
  <c r="I53" i="69"/>
  <c r="J52" i="69"/>
  <c r="I52" i="69"/>
  <c r="J51" i="69"/>
  <c r="I51" i="69"/>
  <c r="J50" i="69"/>
  <c r="I50" i="69"/>
  <c r="G50" i="69"/>
  <c r="H50" i="69" s="1"/>
  <c r="J49" i="69"/>
  <c r="I49" i="69"/>
  <c r="G49" i="69"/>
  <c r="H49" i="69" s="1"/>
  <c r="J48" i="69"/>
  <c r="I48" i="69"/>
  <c r="J47" i="69"/>
  <c r="I47" i="69"/>
  <c r="G47" i="69"/>
  <c r="H47" i="69" s="1"/>
  <c r="J46" i="69"/>
  <c r="I46" i="69"/>
  <c r="J45" i="69"/>
  <c r="I45" i="69"/>
  <c r="G45" i="69"/>
  <c r="H45" i="69" s="1"/>
  <c r="J44" i="69"/>
  <c r="I44" i="69"/>
  <c r="J43" i="69"/>
  <c r="I43" i="69"/>
  <c r="G43" i="69"/>
  <c r="H43" i="69" s="1"/>
  <c r="J42" i="69"/>
  <c r="I42" i="69"/>
  <c r="J41" i="69"/>
  <c r="I41" i="69"/>
  <c r="G41" i="69"/>
  <c r="H41" i="69" s="1"/>
  <c r="J40" i="69"/>
  <c r="I40" i="69"/>
  <c r="J39" i="69"/>
  <c r="I39" i="69"/>
  <c r="G39" i="69"/>
  <c r="H39" i="69" s="1"/>
  <c r="J38" i="69"/>
  <c r="I38" i="69"/>
  <c r="G38" i="69"/>
  <c r="H38" i="69" s="1"/>
  <c r="J37" i="69"/>
  <c r="I37" i="69"/>
  <c r="J36" i="69"/>
  <c r="I36" i="69"/>
  <c r="G36" i="69"/>
  <c r="H36" i="69" s="1"/>
  <c r="J35" i="69"/>
  <c r="I35" i="69"/>
  <c r="G35" i="69"/>
  <c r="H35" i="69" s="1"/>
  <c r="J34" i="69"/>
  <c r="I34" i="69"/>
  <c r="J33" i="69"/>
  <c r="I33" i="69"/>
  <c r="G33" i="69"/>
  <c r="J32" i="69"/>
  <c r="I32" i="69"/>
  <c r="J31" i="69"/>
  <c r="I31" i="69"/>
  <c r="J30" i="69"/>
  <c r="I30" i="69"/>
  <c r="J29" i="69"/>
  <c r="I29" i="69"/>
  <c r="G29" i="69"/>
  <c r="J28" i="69"/>
  <c r="I28" i="69"/>
  <c r="G28" i="69"/>
  <c r="H28" i="69" s="1"/>
  <c r="J27" i="69"/>
  <c r="I27" i="69"/>
  <c r="J26" i="69"/>
  <c r="I26" i="69"/>
  <c r="G26" i="69"/>
  <c r="G27" i="69" s="1"/>
  <c r="H27" i="69" s="1"/>
  <c r="J25" i="69"/>
  <c r="I25" i="69"/>
  <c r="J24" i="69"/>
  <c r="I24" i="69"/>
  <c r="J23" i="69"/>
  <c r="I23" i="69"/>
  <c r="J22" i="69"/>
  <c r="I22" i="69"/>
  <c r="G22" i="69"/>
  <c r="J21" i="69"/>
  <c r="I21" i="69"/>
  <c r="G21" i="69"/>
  <c r="H21" i="69" s="1"/>
  <c r="J20" i="69"/>
  <c r="I20" i="69"/>
  <c r="G20" i="69"/>
  <c r="H20" i="69" s="1"/>
  <c r="J19" i="69"/>
  <c r="I19" i="69"/>
  <c r="G19" i="69"/>
  <c r="H19" i="69" s="1"/>
  <c r="J18" i="69"/>
  <c r="I18" i="69"/>
  <c r="G18" i="69"/>
  <c r="H18" i="69" s="1"/>
  <c r="J17" i="69"/>
  <c r="I17" i="69"/>
  <c r="G17" i="69"/>
  <c r="H17" i="69" s="1"/>
  <c r="O16" i="69"/>
  <c r="J16" i="69"/>
  <c r="I16" i="69"/>
  <c r="J15" i="69"/>
  <c r="I15" i="69"/>
  <c r="G15" i="69"/>
  <c r="H15" i="69" s="1"/>
  <c r="P14" i="69"/>
  <c r="N14" i="69"/>
  <c r="J14" i="69"/>
  <c r="I14" i="69"/>
  <c r="O13" i="69"/>
  <c r="J13" i="69"/>
  <c r="I13" i="69"/>
  <c r="G13" i="69"/>
  <c r="G14" i="69" s="1"/>
  <c r="H14" i="69" s="1"/>
  <c r="O12" i="69"/>
  <c r="J12" i="69"/>
  <c r="I12" i="69"/>
  <c r="O11" i="69"/>
  <c r="J11" i="69"/>
  <c r="I11" i="69"/>
  <c r="G11" i="69"/>
  <c r="G12" i="69" s="1"/>
  <c r="H12" i="69" s="1"/>
  <c r="O10" i="69"/>
  <c r="J10" i="69"/>
  <c r="I10" i="69"/>
  <c r="G10" i="69"/>
  <c r="H10" i="69" s="1"/>
  <c r="O9" i="69"/>
  <c r="J9" i="69"/>
  <c r="I9" i="69"/>
  <c r="O8" i="69"/>
  <c r="J8" i="69"/>
  <c r="I8" i="69"/>
  <c r="G8" i="69"/>
  <c r="G9" i="69" s="1"/>
  <c r="H9" i="69" s="1"/>
  <c r="O7" i="69"/>
  <c r="J7" i="69"/>
  <c r="I7" i="69"/>
  <c r="O6" i="69"/>
  <c r="J6" i="69"/>
  <c r="I6" i="69"/>
  <c r="G6" i="69"/>
  <c r="G7" i="69" s="1"/>
  <c r="H7" i="69" s="1"/>
  <c r="O5" i="69"/>
  <c r="J5" i="69"/>
  <c r="I5" i="69"/>
  <c r="O4" i="69"/>
  <c r="J4" i="69"/>
  <c r="I4" i="69"/>
  <c r="G4" i="69"/>
  <c r="H4" i="69" s="1"/>
  <c r="O3" i="69"/>
  <c r="J3" i="69"/>
  <c r="I3" i="69"/>
  <c r="J2" i="69"/>
  <c r="I2" i="69"/>
  <c r="H2" i="69"/>
  <c r="G2" i="69"/>
  <c r="G3" i="69" s="1"/>
  <c r="H3" i="69" s="1"/>
  <c r="J250" i="68"/>
  <c r="I250" i="68"/>
  <c r="J249" i="68"/>
  <c r="I249" i="68"/>
  <c r="J248" i="68"/>
  <c r="I248" i="68"/>
  <c r="J247" i="68"/>
  <c r="I247" i="68"/>
  <c r="J246" i="68"/>
  <c r="I246" i="68"/>
  <c r="J245" i="68"/>
  <c r="I245" i="68"/>
  <c r="J244" i="68"/>
  <c r="I244" i="68"/>
  <c r="J243" i="68"/>
  <c r="I243" i="68"/>
  <c r="J242" i="68"/>
  <c r="I242" i="68"/>
  <c r="J241" i="68"/>
  <c r="I241" i="68"/>
  <c r="J240" i="68"/>
  <c r="I240" i="68"/>
  <c r="J239" i="68"/>
  <c r="I239" i="68"/>
  <c r="J238" i="68"/>
  <c r="I238" i="68"/>
  <c r="J237" i="68"/>
  <c r="I237" i="68"/>
  <c r="J236" i="68"/>
  <c r="I236" i="68"/>
  <c r="J235" i="68"/>
  <c r="I235" i="68"/>
  <c r="J234" i="68"/>
  <c r="I234" i="68"/>
  <c r="J233" i="68"/>
  <c r="I233" i="68"/>
  <c r="J232" i="68"/>
  <c r="I232" i="68"/>
  <c r="J231" i="68"/>
  <c r="I231" i="68"/>
  <c r="J230" i="68"/>
  <c r="I230" i="68"/>
  <c r="J229" i="68"/>
  <c r="I229" i="68"/>
  <c r="J228" i="68"/>
  <c r="I228" i="68"/>
  <c r="J227" i="68"/>
  <c r="I227" i="68"/>
  <c r="J226" i="68"/>
  <c r="I226" i="68"/>
  <c r="J225" i="68"/>
  <c r="I225" i="68"/>
  <c r="J224" i="68"/>
  <c r="I224" i="68"/>
  <c r="J223" i="68"/>
  <c r="I223" i="68"/>
  <c r="J222" i="68"/>
  <c r="I222" i="68"/>
  <c r="J221" i="68"/>
  <c r="I221" i="68"/>
  <c r="J220" i="68"/>
  <c r="I220" i="68"/>
  <c r="J219" i="68"/>
  <c r="I219" i="68"/>
  <c r="J218" i="68"/>
  <c r="I218" i="68"/>
  <c r="J217" i="68"/>
  <c r="I217" i="68"/>
  <c r="J216" i="68"/>
  <c r="I216" i="68"/>
  <c r="J215" i="68"/>
  <c r="I215" i="68"/>
  <c r="J214" i="68"/>
  <c r="I214" i="68"/>
  <c r="J213" i="68"/>
  <c r="I213" i="68"/>
  <c r="J212" i="68"/>
  <c r="I212" i="68"/>
  <c r="J211" i="68"/>
  <c r="I211" i="68"/>
  <c r="J210" i="68"/>
  <c r="I210" i="68"/>
  <c r="J209" i="68"/>
  <c r="I209" i="68"/>
  <c r="J208" i="68"/>
  <c r="I208" i="68"/>
  <c r="J207" i="68"/>
  <c r="I207" i="68"/>
  <c r="J206" i="68"/>
  <c r="I206" i="68"/>
  <c r="J205" i="68"/>
  <c r="I205" i="68"/>
  <c r="J204" i="68"/>
  <c r="I204" i="68"/>
  <c r="J203" i="68"/>
  <c r="I203" i="68"/>
  <c r="J202" i="68"/>
  <c r="I202" i="68"/>
  <c r="J201" i="68"/>
  <c r="I201" i="68"/>
  <c r="J200" i="68"/>
  <c r="I200" i="68"/>
  <c r="J199" i="68"/>
  <c r="I199" i="68"/>
  <c r="J198" i="68"/>
  <c r="I198" i="68"/>
  <c r="J197" i="68"/>
  <c r="I197" i="68"/>
  <c r="J196" i="68"/>
  <c r="I196" i="68"/>
  <c r="J195" i="68"/>
  <c r="I195" i="68"/>
  <c r="J194" i="68"/>
  <c r="I194" i="68"/>
  <c r="J193" i="68"/>
  <c r="I193" i="68"/>
  <c r="J192" i="68"/>
  <c r="I192" i="68"/>
  <c r="J191" i="68"/>
  <c r="I191" i="68"/>
  <c r="J190" i="68"/>
  <c r="I190" i="68"/>
  <c r="J189" i="68"/>
  <c r="I189" i="68"/>
  <c r="J188" i="68"/>
  <c r="I188" i="68"/>
  <c r="J187" i="68"/>
  <c r="I187" i="68"/>
  <c r="J186" i="68"/>
  <c r="I186" i="68"/>
  <c r="J185" i="68"/>
  <c r="I185" i="68"/>
  <c r="J184" i="68"/>
  <c r="I184" i="68"/>
  <c r="J183" i="68"/>
  <c r="I183" i="68"/>
  <c r="J182" i="68"/>
  <c r="I182" i="68"/>
  <c r="J181" i="68"/>
  <c r="I181" i="68"/>
  <c r="J180" i="68"/>
  <c r="I180" i="68"/>
  <c r="J179" i="68"/>
  <c r="I179" i="68"/>
  <c r="J178" i="68"/>
  <c r="I178" i="68"/>
  <c r="J177" i="68"/>
  <c r="I177" i="68"/>
  <c r="J176" i="68"/>
  <c r="I176" i="68"/>
  <c r="J175" i="68"/>
  <c r="I175" i="68"/>
  <c r="J174" i="68"/>
  <c r="I174" i="68"/>
  <c r="J173" i="68"/>
  <c r="I173" i="68"/>
  <c r="J172" i="68"/>
  <c r="I172" i="68"/>
  <c r="J171" i="68"/>
  <c r="I171" i="68"/>
  <c r="J170" i="68"/>
  <c r="I170" i="68"/>
  <c r="J169" i="68"/>
  <c r="I169" i="68"/>
  <c r="J168" i="68"/>
  <c r="I168" i="68"/>
  <c r="J167" i="68"/>
  <c r="I167" i="68"/>
  <c r="J166" i="68"/>
  <c r="I166" i="68"/>
  <c r="J165" i="68"/>
  <c r="I165" i="68"/>
  <c r="J164" i="68"/>
  <c r="I164" i="68"/>
  <c r="J163" i="68"/>
  <c r="I163" i="68"/>
  <c r="J162" i="68"/>
  <c r="I162" i="68"/>
  <c r="J161" i="68"/>
  <c r="I161" i="68"/>
  <c r="J160" i="68"/>
  <c r="I160" i="68"/>
  <c r="J159" i="68"/>
  <c r="I159" i="68"/>
  <c r="J158" i="68"/>
  <c r="I158" i="68"/>
  <c r="J157" i="68"/>
  <c r="I157" i="68"/>
  <c r="J156" i="68"/>
  <c r="I156" i="68"/>
  <c r="J155" i="68"/>
  <c r="I155" i="68"/>
  <c r="J154" i="68"/>
  <c r="I154" i="68"/>
  <c r="J153" i="68"/>
  <c r="I153" i="68"/>
  <c r="J152" i="68"/>
  <c r="I152" i="68"/>
  <c r="J151" i="68"/>
  <c r="I151" i="68"/>
  <c r="J150" i="68"/>
  <c r="I150" i="68"/>
  <c r="J149" i="68"/>
  <c r="I149" i="68"/>
  <c r="J148" i="68"/>
  <c r="I148" i="68"/>
  <c r="J147" i="68"/>
  <c r="I147" i="68"/>
  <c r="J146" i="68"/>
  <c r="I146" i="68"/>
  <c r="J145" i="68"/>
  <c r="I145" i="68"/>
  <c r="J144" i="68"/>
  <c r="I144" i="68"/>
  <c r="J143" i="68"/>
  <c r="I143" i="68"/>
  <c r="J142" i="68"/>
  <c r="I142" i="68"/>
  <c r="J141" i="68"/>
  <c r="I141" i="68"/>
  <c r="J140" i="68"/>
  <c r="I140" i="68"/>
  <c r="J139" i="68"/>
  <c r="I139" i="68"/>
  <c r="J138" i="68"/>
  <c r="I138" i="68"/>
  <c r="J137" i="68"/>
  <c r="I137" i="68"/>
  <c r="J136" i="68"/>
  <c r="I136" i="68"/>
  <c r="J135" i="68"/>
  <c r="I135" i="68"/>
  <c r="J134" i="68"/>
  <c r="I134" i="68"/>
  <c r="J133" i="68"/>
  <c r="I133" i="68"/>
  <c r="J132" i="68"/>
  <c r="I132" i="68"/>
  <c r="J131" i="68"/>
  <c r="I131" i="68"/>
  <c r="J130" i="68"/>
  <c r="I130" i="68"/>
  <c r="J129" i="68"/>
  <c r="I129" i="68"/>
  <c r="J128" i="68"/>
  <c r="I128" i="68"/>
  <c r="J127" i="68"/>
  <c r="I127" i="68"/>
  <c r="J126" i="68"/>
  <c r="I126" i="68"/>
  <c r="J125" i="68"/>
  <c r="I125" i="68"/>
  <c r="J124" i="68"/>
  <c r="I124" i="68"/>
  <c r="J123" i="68"/>
  <c r="I123" i="68"/>
  <c r="J122" i="68"/>
  <c r="I122" i="68"/>
  <c r="J121" i="68"/>
  <c r="I121" i="68"/>
  <c r="J120" i="68"/>
  <c r="I120" i="68"/>
  <c r="J119" i="68"/>
  <c r="I119" i="68"/>
  <c r="J118" i="68"/>
  <c r="I118" i="68"/>
  <c r="J117" i="68"/>
  <c r="I117" i="68"/>
  <c r="J116" i="68"/>
  <c r="I116" i="68"/>
  <c r="J115" i="68"/>
  <c r="I115" i="68"/>
  <c r="J114" i="68"/>
  <c r="I114" i="68"/>
  <c r="J113" i="68"/>
  <c r="I113" i="68"/>
  <c r="J112" i="68"/>
  <c r="I112" i="68"/>
  <c r="J111" i="68"/>
  <c r="I111" i="68"/>
  <c r="J110" i="68"/>
  <c r="I110" i="68"/>
  <c r="J109" i="68"/>
  <c r="I109" i="68"/>
  <c r="J108" i="68"/>
  <c r="I108" i="68"/>
  <c r="J107" i="68"/>
  <c r="I107" i="68"/>
  <c r="J106" i="68"/>
  <c r="I106" i="68"/>
  <c r="J105" i="68"/>
  <c r="I105" i="68"/>
  <c r="J104" i="68"/>
  <c r="I104" i="68"/>
  <c r="J103" i="68"/>
  <c r="I103" i="68"/>
  <c r="J102" i="68"/>
  <c r="I102" i="68"/>
  <c r="J101" i="68"/>
  <c r="I101" i="68"/>
  <c r="J100" i="68"/>
  <c r="I100" i="68"/>
  <c r="J99" i="68"/>
  <c r="I99" i="68"/>
  <c r="J98" i="68"/>
  <c r="I98" i="68"/>
  <c r="J97" i="68"/>
  <c r="I97" i="68"/>
  <c r="J96" i="68"/>
  <c r="I96" i="68"/>
  <c r="J95" i="68"/>
  <c r="I95" i="68"/>
  <c r="J94" i="68"/>
  <c r="I94" i="68"/>
  <c r="J93" i="68"/>
  <c r="I93" i="68"/>
  <c r="J92" i="68"/>
  <c r="I92" i="68"/>
  <c r="J91" i="68"/>
  <c r="I91" i="68"/>
  <c r="J90" i="68"/>
  <c r="I90" i="68"/>
  <c r="J89" i="68"/>
  <c r="I89" i="68"/>
  <c r="J88" i="68"/>
  <c r="I88" i="68"/>
  <c r="J87" i="68"/>
  <c r="I87" i="68"/>
  <c r="J86" i="68"/>
  <c r="I86" i="68"/>
  <c r="J85" i="68"/>
  <c r="I85" i="68"/>
  <c r="J84" i="68"/>
  <c r="I84" i="68"/>
  <c r="J83" i="68"/>
  <c r="I83" i="68"/>
  <c r="J82" i="68"/>
  <c r="I82" i="68"/>
  <c r="J81" i="68"/>
  <c r="I81" i="68"/>
  <c r="J80" i="68"/>
  <c r="I80" i="68"/>
  <c r="J79" i="68"/>
  <c r="I79" i="68"/>
  <c r="J78" i="68"/>
  <c r="I78" i="68"/>
  <c r="J77" i="68"/>
  <c r="I77" i="68"/>
  <c r="J76" i="68"/>
  <c r="I76" i="68"/>
  <c r="J75" i="68"/>
  <c r="I75" i="68"/>
  <c r="J74" i="68"/>
  <c r="I74" i="68"/>
  <c r="J73" i="68"/>
  <c r="I73" i="68"/>
  <c r="J72" i="68"/>
  <c r="I72" i="68"/>
  <c r="J71" i="68"/>
  <c r="I71" i="68"/>
  <c r="J70" i="68"/>
  <c r="I70" i="68"/>
  <c r="J69" i="68"/>
  <c r="I69" i="68"/>
  <c r="J68" i="68"/>
  <c r="I68" i="68"/>
  <c r="J67" i="68"/>
  <c r="I67" i="68"/>
  <c r="J66" i="68"/>
  <c r="I66" i="68"/>
  <c r="J65" i="68"/>
  <c r="I65" i="68"/>
  <c r="J64" i="68"/>
  <c r="I64" i="68"/>
  <c r="J63" i="68"/>
  <c r="I63" i="68"/>
  <c r="J62" i="68"/>
  <c r="I62" i="68"/>
  <c r="J61" i="68"/>
  <c r="I61" i="68"/>
  <c r="J60" i="68"/>
  <c r="I60" i="68"/>
  <c r="J59" i="68"/>
  <c r="I59" i="68"/>
  <c r="J58" i="68"/>
  <c r="I58" i="68"/>
  <c r="J57" i="68"/>
  <c r="I57" i="68"/>
  <c r="J56" i="68"/>
  <c r="I56" i="68"/>
  <c r="J55" i="68"/>
  <c r="I55" i="68"/>
  <c r="J54" i="68"/>
  <c r="I54" i="68"/>
  <c r="J53" i="68"/>
  <c r="I53" i="68"/>
  <c r="J52" i="68"/>
  <c r="I52" i="68"/>
  <c r="J51" i="68"/>
  <c r="I51" i="68"/>
  <c r="J50" i="68"/>
  <c r="I50" i="68"/>
  <c r="G50" i="68"/>
  <c r="G51" i="68" s="1"/>
  <c r="J49" i="68"/>
  <c r="I49" i="68"/>
  <c r="G49" i="68"/>
  <c r="H49" i="68" s="1"/>
  <c r="J48" i="68"/>
  <c r="I48" i="68"/>
  <c r="J47" i="68"/>
  <c r="I47" i="68"/>
  <c r="G47" i="68"/>
  <c r="H47" i="68" s="1"/>
  <c r="J46" i="68"/>
  <c r="I46" i="68"/>
  <c r="J45" i="68"/>
  <c r="I45" i="68"/>
  <c r="G45" i="68"/>
  <c r="H45" i="68" s="1"/>
  <c r="J44" i="68"/>
  <c r="I44" i="68"/>
  <c r="J43" i="68"/>
  <c r="I43" i="68"/>
  <c r="G43" i="68"/>
  <c r="G44" i="68" s="1"/>
  <c r="H44" i="68" s="1"/>
  <c r="J42" i="68"/>
  <c r="I42" i="68"/>
  <c r="J41" i="68"/>
  <c r="I41" i="68"/>
  <c r="G41" i="68"/>
  <c r="H41" i="68" s="1"/>
  <c r="J40" i="68"/>
  <c r="I40" i="68"/>
  <c r="J39" i="68"/>
  <c r="I39" i="68"/>
  <c r="G39" i="68"/>
  <c r="G40" i="68" s="1"/>
  <c r="H40" i="68" s="1"/>
  <c r="J38" i="68"/>
  <c r="I38" i="68"/>
  <c r="G38" i="68"/>
  <c r="H38" i="68" s="1"/>
  <c r="J37" i="68"/>
  <c r="I37" i="68"/>
  <c r="J36" i="68"/>
  <c r="I36" i="68"/>
  <c r="G36" i="68"/>
  <c r="H36" i="68" s="1"/>
  <c r="J35" i="68"/>
  <c r="I35" i="68"/>
  <c r="G35" i="68"/>
  <c r="H35" i="68" s="1"/>
  <c r="J34" i="68"/>
  <c r="I34" i="68"/>
  <c r="J33" i="68"/>
  <c r="I33" i="68"/>
  <c r="G33" i="68"/>
  <c r="G34" i="68" s="1"/>
  <c r="H34" i="68" s="1"/>
  <c r="J32" i="68"/>
  <c r="I32" i="68"/>
  <c r="J31" i="68"/>
  <c r="I31" i="68"/>
  <c r="J30" i="68"/>
  <c r="I30" i="68"/>
  <c r="J29" i="68"/>
  <c r="I29" i="68"/>
  <c r="G29" i="68"/>
  <c r="G30" i="68" s="1"/>
  <c r="H30" i="68" s="1"/>
  <c r="J28" i="68"/>
  <c r="I28" i="68"/>
  <c r="G28" i="68"/>
  <c r="H28" i="68" s="1"/>
  <c r="J27" i="68"/>
  <c r="I27" i="68"/>
  <c r="J26" i="68"/>
  <c r="I26" i="68"/>
  <c r="G26" i="68"/>
  <c r="G27" i="68" s="1"/>
  <c r="H27" i="68" s="1"/>
  <c r="J25" i="68"/>
  <c r="I25" i="68"/>
  <c r="J24" i="68"/>
  <c r="I24" i="68"/>
  <c r="J23" i="68"/>
  <c r="I23" i="68"/>
  <c r="J22" i="68"/>
  <c r="I22" i="68"/>
  <c r="G22" i="68"/>
  <c r="G23" i="68" s="1"/>
  <c r="J21" i="68"/>
  <c r="I21" i="68"/>
  <c r="G21" i="68"/>
  <c r="H21" i="68" s="1"/>
  <c r="J20" i="68"/>
  <c r="I20" i="68"/>
  <c r="G20" i="68"/>
  <c r="H20" i="68" s="1"/>
  <c r="J19" i="68"/>
  <c r="I19" i="68"/>
  <c r="G19" i="68"/>
  <c r="H19" i="68" s="1"/>
  <c r="J18" i="68"/>
  <c r="I18" i="68"/>
  <c r="G18" i="68"/>
  <c r="H18" i="68" s="1"/>
  <c r="J17" i="68"/>
  <c r="I17" i="68"/>
  <c r="G17" i="68"/>
  <c r="H17" i="68" s="1"/>
  <c r="O16" i="68"/>
  <c r="J16" i="68"/>
  <c r="I16" i="68"/>
  <c r="J15" i="68"/>
  <c r="I15" i="68"/>
  <c r="G15" i="68"/>
  <c r="G16" i="68" s="1"/>
  <c r="H16" i="68" s="1"/>
  <c r="P14" i="68"/>
  <c r="N14" i="68"/>
  <c r="J14" i="68"/>
  <c r="I14" i="68"/>
  <c r="O13" i="68"/>
  <c r="J13" i="68"/>
  <c r="I13" i="68"/>
  <c r="G13" i="68"/>
  <c r="G14" i="68" s="1"/>
  <c r="H14" i="68" s="1"/>
  <c r="O12" i="68"/>
  <c r="J12" i="68"/>
  <c r="I12" i="68"/>
  <c r="O11" i="68"/>
  <c r="J11" i="68"/>
  <c r="I11" i="68"/>
  <c r="G11" i="68"/>
  <c r="H11" i="68" s="1"/>
  <c r="O10" i="68"/>
  <c r="J10" i="68"/>
  <c r="I10" i="68"/>
  <c r="G10" i="68"/>
  <c r="H10" i="68" s="1"/>
  <c r="O9" i="68"/>
  <c r="J9" i="68"/>
  <c r="I9" i="68"/>
  <c r="O8" i="68"/>
  <c r="J8" i="68"/>
  <c r="I8" i="68"/>
  <c r="G8" i="68"/>
  <c r="G9" i="68" s="1"/>
  <c r="H9" i="68" s="1"/>
  <c r="O7" i="68"/>
  <c r="J7" i="68"/>
  <c r="I7" i="68"/>
  <c r="O6" i="68"/>
  <c r="J6" i="68"/>
  <c r="I6" i="68"/>
  <c r="G6" i="68"/>
  <c r="H6" i="68" s="1"/>
  <c r="O5" i="68"/>
  <c r="J5" i="68"/>
  <c r="I5" i="68"/>
  <c r="O4" i="68"/>
  <c r="J4" i="68"/>
  <c r="I4" i="68"/>
  <c r="G4" i="68"/>
  <c r="G5" i="68" s="1"/>
  <c r="H5" i="68" s="1"/>
  <c r="O3" i="68"/>
  <c r="J3" i="68"/>
  <c r="I3" i="68"/>
  <c r="J2" i="68"/>
  <c r="I2" i="68"/>
  <c r="H2" i="68"/>
  <c r="G2" i="68"/>
  <c r="G3" i="68" s="1"/>
  <c r="H3" i="68" s="1"/>
  <c r="J250" i="67"/>
  <c r="I250" i="67"/>
  <c r="J249" i="67"/>
  <c r="I249" i="67"/>
  <c r="J248" i="67"/>
  <c r="I248" i="67"/>
  <c r="J247" i="67"/>
  <c r="I247" i="67"/>
  <c r="J246" i="67"/>
  <c r="I246" i="67"/>
  <c r="J245" i="67"/>
  <c r="I245" i="67"/>
  <c r="J244" i="67"/>
  <c r="I244" i="67"/>
  <c r="J243" i="67"/>
  <c r="I243" i="67"/>
  <c r="J242" i="67"/>
  <c r="I242" i="67"/>
  <c r="J241" i="67"/>
  <c r="I241" i="67"/>
  <c r="J240" i="67"/>
  <c r="I240" i="67"/>
  <c r="J239" i="67"/>
  <c r="I239" i="67"/>
  <c r="J238" i="67"/>
  <c r="I238" i="67"/>
  <c r="J237" i="67"/>
  <c r="I237" i="67"/>
  <c r="J236" i="67"/>
  <c r="I236" i="67"/>
  <c r="J235" i="67"/>
  <c r="I235" i="67"/>
  <c r="J234" i="67"/>
  <c r="I234" i="67"/>
  <c r="J233" i="67"/>
  <c r="I233" i="67"/>
  <c r="J232" i="67"/>
  <c r="I232" i="67"/>
  <c r="J231" i="67"/>
  <c r="I231" i="67"/>
  <c r="J230" i="67"/>
  <c r="I230" i="67"/>
  <c r="J229" i="67"/>
  <c r="I229" i="67"/>
  <c r="J228" i="67"/>
  <c r="I228" i="67"/>
  <c r="J227" i="67"/>
  <c r="I227" i="67"/>
  <c r="J226" i="67"/>
  <c r="I226" i="67"/>
  <c r="J225" i="67"/>
  <c r="I225" i="67"/>
  <c r="J224" i="67"/>
  <c r="I224" i="67"/>
  <c r="J223" i="67"/>
  <c r="I223" i="67"/>
  <c r="J222" i="67"/>
  <c r="I222" i="67"/>
  <c r="J221" i="67"/>
  <c r="I221" i="67"/>
  <c r="J220" i="67"/>
  <c r="I220" i="67"/>
  <c r="J219" i="67"/>
  <c r="I219" i="67"/>
  <c r="J218" i="67"/>
  <c r="I218" i="67"/>
  <c r="J217" i="67"/>
  <c r="I217" i="67"/>
  <c r="J216" i="67"/>
  <c r="I216" i="67"/>
  <c r="J215" i="67"/>
  <c r="I215" i="67"/>
  <c r="J214" i="67"/>
  <c r="I214" i="67"/>
  <c r="J213" i="67"/>
  <c r="I213" i="67"/>
  <c r="J212" i="67"/>
  <c r="I212" i="67"/>
  <c r="J211" i="67"/>
  <c r="I211" i="67"/>
  <c r="J210" i="67"/>
  <c r="I210" i="67"/>
  <c r="J209" i="67"/>
  <c r="I209" i="67"/>
  <c r="J208" i="67"/>
  <c r="I208" i="67"/>
  <c r="J207" i="67"/>
  <c r="I207" i="67"/>
  <c r="J206" i="67"/>
  <c r="I206" i="67"/>
  <c r="J205" i="67"/>
  <c r="I205" i="67"/>
  <c r="J204" i="67"/>
  <c r="I204" i="67"/>
  <c r="J203" i="67"/>
  <c r="I203" i="67"/>
  <c r="J202" i="67"/>
  <c r="I202" i="67"/>
  <c r="J201" i="67"/>
  <c r="I201" i="67"/>
  <c r="J200" i="67"/>
  <c r="I200" i="67"/>
  <c r="J199" i="67"/>
  <c r="I199" i="67"/>
  <c r="J198" i="67"/>
  <c r="I198" i="67"/>
  <c r="J197" i="67"/>
  <c r="I197" i="67"/>
  <c r="J196" i="67"/>
  <c r="I196" i="67"/>
  <c r="J195" i="67"/>
  <c r="I195" i="67"/>
  <c r="J194" i="67"/>
  <c r="I194" i="67"/>
  <c r="J193" i="67"/>
  <c r="I193" i="67"/>
  <c r="J192" i="67"/>
  <c r="I192" i="67"/>
  <c r="J191" i="67"/>
  <c r="I191" i="67"/>
  <c r="J190" i="67"/>
  <c r="I190" i="67"/>
  <c r="J189" i="67"/>
  <c r="I189" i="67"/>
  <c r="J188" i="67"/>
  <c r="I188" i="67"/>
  <c r="J187" i="67"/>
  <c r="I187" i="67"/>
  <c r="J186" i="67"/>
  <c r="I186" i="67"/>
  <c r="J185" i="67"/>
  <c r="I185" i="67"/>
  <c r="J184" i="67"/>
  <c r="I184" i="67"/>
  <c r="J183" i="67"/>
  <c r="I183" i="67"/>
  <c r="J182" i="67"/>
  <c r="I182" i="67"/>
  <c r="J181" i="67"/>
  <c r="I181" i="67"/>
  <c r="J180" i="67"/>
  <c r="I180" i="67"/>
  <c r="J179" i="67"/>
  <c r="I179" i="67"/>
  <c r="J178" i="67"/>
  <c r="I178" i="67"/>
  <c r="J177" i="67"/>
  <c r="I177" i="67"/>
  <c r="J176" i="67"/>
  <c r="I176" i="67"/>
  <c r="J175" i="67"/>
  <c r="I175" i="67"/>
  <c r="J174" i="67"/>
  <c r="I174" i="67"/>
  <c r="J173" i="67"/>
  <c r="I173" i="67"/>
  <c r="J172" i="67"/>
  <c r="I172" i="67"/>
  <c r="J171" i="67"/>
  <c r="I171" i="67"/>
  <c r="J170" i="67"/>
  <c r="I170" i="67"/>
  <c r="J169" i="67"/>
  <c r="I169" i="67"/>
  <c r="J168" i="67"/>
  <c r="I168" i="67"/>
  <c r="J167" i="67"/>
  <c r="I167" i="67"/>
  <c r="J166" i="67"/>
  <c r="I166" i="67"/>
  <c r="J165" i="67"/>
  <c r="I165" i="67"/>
  <c r="J164" i="67"/>
  <c r="I164" i="67"/>
  <c r="J163" i="67"/>
  <c r="I163" i="67"/>
  <c r="J162" i="67"/>
  <c r="I162" i="67"/>
  <c r="J161" i="67"/>
  <c r="I161" i="67"/>
  <c r="J160" i="67"/>
  <c r="I160" i="67"/>
  <c r="J159" i="67"/>
  <c r="I159" i="67"/>
  <c r="J158" i="67"/>
  <c r="I158" i="67"/>
  <c r="J157" i="67"/>
  <c r="I157" i="67"/>
  <c r="J156" i="67"/>
  <c r="I156" i="67"/>
  <c r="J155" i="67"/>
  <c r="I155" i="67"/>
  <c r="J154" i="67"/>
  <c r="I154" i="67"/>
  <c r="J153" i="67"/>
  <c r="I153" i="67"/>
  <c r="J152" i="67"/>
  <c r="I152" i="67"/>
  <c r="J151" i="67"/>
  <c r="I151" i="67"/>
  <c r="J150" i="67"/>
  <c r="I150" i="67"/>
  <c r="J149" i="67"/>
  <c r="I149" i="67"/>
  <c r="J148" i="67"/>
  <c r="I148" i="67"/>
  <c r="J147" i="67"/>
  <c r="I147" i="67"/>
  <c r="J146" i="67"/>
  <c r="I146" i="67"/>
  <c r="J145" i="67"/>
  <c r="I145" i="67"/>
  <c r="J144" i="67"/>
  <c r="I144" i="67"/>
  <c r="J143" i="67"/>
  <c r="I143" i="67"/>
  <c r="J142" i="67"/>
  <c r="I142" i="67"/>
  <c r="J141" i="67"/>
  <c r="I141" i="67"/>
  <c r="J140" i="67"/>
  <c r="I140" i="67"/>
  <c r="J139" i="67"/>
  <c r="I139" i="67"/>
  <c r="J138" i="67"/>
  <c r="I138" i="67"/>
  <c r="J137" i="67"/>
  <c r="I137" i="67"/>
  <c r="J136" i="67"/>
  <c r="I136" i="67"/>
  <c r="J135" i="67"/>
  <c r="I135" i="67"/>
  <c r="J134" i="67"/>
  <c r="I134" i="67"/>
  <c r="J133" i="67"/>
  <c r="I133" i="67"/>
  <c r="J132" i="67"/>
  <c r="I132" i="67"/>
  <c r="J131" i="67"/>
  <c r="I131" i="67"/>
  <c r="J130" i="67"/>
  <c r="I130" i="67"/>
  <c r="J129" i="67"/>
  <c r="I129" i="67"/>
  <c r="J128" i="67"/>
  <c r="I128" i="67"/>
  <c r="J127" i="67"/>
  <c r="I127" i="67"/>
  <c r="J126" i="67"/>
  <c r="I126" i="67"/>
  <c r="J125" i="67"/>
  <c r="I125" i="67"/>
  <c r="J124" i="67"/>
  <c r="I124" i="67"/>
  <c r="J123" i="67"/>
  <c r="I123" i="67"/>
  <c r="J122" i="67"/>
  <c r="I122" i="67"/>
  <c r="J121" i="67"/>
  <c r="I121" i="67"/>
  <c r="J120" i="67"/>
  <c r="I120" i="67"/>
  <c r="J119" i="67"/>
  <c r="I119" i="67"/>
  <c r="J118" i="67"/>
  <c r="I118" i="67"/>
  <c r="J117" i="67"/>
  <c r="I117" i="67"/>
  <c r="J116" i="67"/>
  <c r="I116" i="67"/>
  <c r="J115" i="67"/>
  <c r="I115" i="67"/>
  <c r="J114" i="67"/>
  <c r="I114" i="67"/>
  <c r="J113" i="67"/>
  <c r="I113" i="67"/>
  <c r="J112" i="67"/>
  <c r="I112" i="67"/>
  <c r="J111" i="67"/>
  <c r="I111" i="67"/>
  <c r="J110" i="67"/>
  <c r="I110" i="67"/>
  <c r="J109" i="67"/>
  <c r="I109" i="67"/>
  <c r="J108" i="67"/>
  <c r="I108" i="67"/>
  <c r="J107" i="67"/>
  <c r="I107" i="67"/>
  <c r="J106" i="67"/>
  <c r="I106" i="67"/>
  <c r="J105" i="67"/>
  <c r="I105" i="67"/>
  <c r="J104" i="67"/>
  <c r="I104" i="67"/>
  <c r="J103" i="67"/>
  <c r="I103" i="67"/>
  <c r="J102" i="67"/>
  <c r="I102" i="67"/>
  <c r="J101" i="67"/>
  <c r="I101" i="67"/>
  <c r="J100" i="67"/>
  <c r="I100" i="67"/>
  <c r="J99" i="67"/>
  <c r="I99" i="67"/>
  <c r="J98" i="67"/>
  <c r="I98" i="67"/>
  <c r="J97" i="67"/>
  <c r="I97" i="67"/>
  <c r="J96" i="67"/>
  <c r="I96" i="67"/>
  <c r="J95" i="67"/>
  <c r="I95" i="67"/>
  <c r="J94" i="67"/>
  <c r="I94" i="67"/>
  <c r="J93" i="67"/>
  <c r="I93" i="67"/>
  <c r="J92" i="67"/>
  <c r="I92" i="67"/>
  <c r="J91" i="67"/>
  <c r="I91" i="67"/>
  <c r="J90" i="67"/>
  <c r="I90" i="67"/>
  <c r="J89" i="67"/>
  <c r="I89" i="67"/>
  <c r="J88" i="67"/>
  <c r="I88" i="67"/>
  <c r="J87" i="67"/>
  <c r="I87" i="67"/>
  <c r="J86" i="67"/>
  <c r="I86" i="67"/>
  <c r="J85" i="67"/>
  <c r="I85" i="67"/>
  <c r="J84" i="67"/>
  <c r="I84" i="67"/>
  <c r="J83" i="67"/>
  <c r="I83" i="67"/>
  <c r="J82" i="67"/>
  <c r="I82" i="67"/>
  <c r="J81" i="67"/>
  <c r="I81" i="67"/>
  <c r="J80" i="67"/>
  <c r="I80" i="67"/>
  <c r="J79" i="67"/>
  <c r="I79" i="67"/>
  <c r="J78" i="67"/>
  <c r="I78" i="67"/>
  <c r="J77" i="67"/>
  <c r="I77" i="67"/>
  <c r="J76" i="67"/>
  <c r="I76" i="67"/>
  <c r="J75" i="67"/>
  <c r="I75" i="67"/>
  <c r="J74" i="67"/>
  <c r="I74" i="67"/>
  <c r="J73" i="67"/>
  <c r="I73" i="67"/>
  <c r="J72" i="67"/>
  <c r="I72" i="67"/>
  <c r="J71" i="67"/>
  <c r="I71" i="67"/>
  <c r="J70" i="67"/>
  <c r="I70" i="67"/>
  <c r="J69" i="67"/>
  <c r="I69" i="67"/>
  <c r="J68" i="67"/>
  <c r="I68" i="67"/>
  <c r="J67" i="67"/>
  <c r="I67" i="67"/>
  <c r="J66" i="67"/>
  <c r="I66" i="67"/>
  <c r="J65" i="67"/>
  <c r="I65" i="67"/>
  <c r="J64" i="67"/>
  <c r="I64" i="67"/>
  <c r="J63" i="67"/>
  <c r="I63" i="67"/>
  <c r="J62" i="67"/>
  <c r="I62" i="67"/>
  <c r="J61" i="67"/>
  <c r="I61" i="67"/>
  <c r="J60" i="67"/>
  <c r="I60" i="67"/>
  <c r="J59" i="67"/>
  <c r="I59" i="67"/>
  <c r="J58" i="67"/>
  <c r="I58" i="67"/>
  <c r="J57" i="67"/>
  <c r="I57" i="67"/>
  <c r="J56" i="67"/>
  <c r="I56" i="67"/>
  <c r="J55" i="67"/>
  <c r="I55" i="67"/>
  <c r="J54" i="67"/>
  <c r="I54" i="67"/>
  <c r="J53" i="67"/>
  <c r="I53" i="67"/>
  <c r="J52" i="67"/>
  <c r="I52" i="67"/>
  <c r="J51" i="67"/>
  <c r="I51" i="67"/>
  <c r="J50" i="67"/>
  <c r="I50" i="67"/>
  <c r="G50" i="67"/>
  <c r="G51" i="67" s="1"/>
  <c r="J49" i="67"/>
  <c r="I49" i="67"/>
  <c r="G49" i="67"/>
  <c r="H49" i="67" s="1"/>
  <c r="J48" i="67"/>
  <c r="I48" i="67"/>
  <c r="J47" i="67"/>
  <c r="I47" i="67"/>
  <c r="G47" i="67"/>
  <c r="H47" i="67" s="1"/>
  <c r="J46" i="67"/>
  <c r="I46" i="67"/>
  <c r="J45" i="67"/>
  <c r="I45" i="67"/>
  <c r="G45" i="67"/>
  <c r="H45" i="67" s="1"/>
  <c r="J44" i="67"/>
  <c r="I44" i="67"/>
  <c r="J43" i="67"/>
  <c r="I43" i="67"/>
  <c r="G43" i="67"/>
  <c r="G44" i="67" s="1"/>
  <c r="H44" i="67" s="1"/>
  <c r="J42" i="67"/>
  <c r="I42" i="67"/>
  <c r="J41" i="67"/>
  <c r="I41" i="67"/>
  <c r="G41" i="67"/>
  <c r="H41" i="67" s="1"/>
  <c r="J40" i="67"/>
  <c r="I40" i="67"/>
  <c r="J39" i="67"/>
  <c r="I39" i="67"/>
  <c r="G39" i="67"/>
  <c r="G40" i="67" s="1"/>
  <c r="H40" i="67" s="1"/>
  <c r="J38" i="67"/>
  <c r="I38" i="67"/>
  <c r="G38" i="67"/>
  <c r="H38" i="67" s="1"/>
  <c r="J37" i="67"/>
  <c r="I37" i="67"/>
  <c r="J36" i="67"/>
  <c r="I36" i="67"/>
  <c r="G36" i="67"/>
  <c r="H36" i="67" s="1"/>
  <c r="J35" i="67"/>
  <c r="I35" i="67"/>
  <c r="G35" i="67"/>
  <c r="H35" i="67" s="1"/>
  <c r="J34" i="67"/>
  <c r="I34" i="67"/>
  <c r="J33" i="67"/>
  <c r="I33" i="67"/>
  <c r="G33" i="67"/>
  <c r="J32" i="67"/>
  <c r="I32" i="67"/>
  <c r="J31" i="67"/>
  <c r="I31" i="67"/>
  <c r="J30" i="67"/>
  <c r="I30" i="67"/>
  <c r="J29" i="67"/>
  <c r="I29" i="67"/>
  <c r="G29" i="67"/>
  <c r="G30" i="67" s="1"/>
  <c r="H30" i="67" s="1"/>
  <c r="J28" i="67"/>
  <c r="I28" i="67"/>
  <c r="G28" i="67"/>
  <c r="H28" i="67" s="1"/>
  <c r="J27" i="67"/>
  <c r="I27" i="67"/>
  <c r="J26" i="67"/>
  <c r="I26" i="67"/>
  <c r="G26" i="67"/>
  <c r="H26" i="67" s="1"/>
  <c r="J25" i="67"/>
  <c r="I25" i="67"/>
  <c r="J24" i="67"/>
  <c r="I24" i="67"/>
  <c r="J23" i="67"/>
  <c r="I23" i="67"/>
  <c r="J22" i="67"/>
  <c r="I22" i="67"/>
  <c r="G22" i="67"/>
  <c r="J21" i="67"/>
  <c r="I21" i="67"/>
  <c r="G21" i="67"/>
  <c r="H21" i="67" s="1"/>
  <c r="J20" i="67"/>
  <c r="I20" i="67"/>
  <c r="G20" i="67"/>
  <c r="H20" i="67" s="1"/>
  <c r="J19" i="67"/>
  <c r="I19" i="67"/>
  <c r="G19" i="67"/>
  <c r="H19" i="67" s="1"/>
  <c r="J18" i="67"/>
  <c r="I18" i="67"/>
  <c r="G18" i="67"/>
  <c r="H18" i="67" s="1"/>
  <c r="J17" i="67"/>
  <c r="I17" i="67"/>
  <c r="G17" i="67"/>
  <c r="H17" i="67" s="1"/>
  <c r="O16" i="67"/>
  <c r="J16" i="67"/>
  <c r="I16" i="67"/>
  <c r="J15" i="67"/>
  <c r="I15" i="67"/>
  <c r="G15" i="67"/>
  <c r="G16" i="67" s="1"/>
  <c r="H16" i="67" s="1"/>
  <c r="P14" i="67"/>
  <c r="N14" i="67"/>
  <c r="J14" i="67"/>
  <c r="I14" i="67"/>
  <c r="O13" i="67"/>
  <c r="J13" i="67"/>
  <c r="I13" i="67"/>
  <c r="G13" i="67"/>
  <c r="G14" i="67" s="1"/>
  <c r="H14" i="67" s="1"/>
  <c r="O12" i="67"/>
  <c r="J12" i="67"/>
  <c r="I12" i="67"/>
  <c r="O11" i="67"/>
  <c r="J11" i="67"/>
  <c r="I11" i="67"/>
  <c r="G11" i="67"/>
  <c r="H11" i="67" s="1"/>
  <c r="O10" i="67"/>
  <c r="J10" i="67"/>
  <c r="I10" i="67"/>
  <c r="G10" i="67"/>
  <c r="H10" i="67" s="1"/>
  <c r="O9" i="67"/>
  <c r="J9" i="67"/>
  <c r="I9" i="67"/>
  <c r="O8" i="67"/>
  <c r="J8" i="67"/>
  <c r="I8" i="67"/>
  <c r="G8" i="67"/>
  <c r="H8" i="67" s="1"/>
  <c r="O7" i="67"/>
  <c r="J7" i="67"/>
  <c r="I7" i="67"/>
  <c r="O6" i="67"/>
  <c r="J6" i="67"/>
  <c r="I6" i="67"/>
  <c r="G6" i="67"/>
  <c r="G7" i="67" s="1"/>
  <c r="H7" i="67" s="1"/>
  <c r="O5" i="67"/>
  <c r="J5" i="67"/>
  <c r="I5" i="67"/>
  <c r="O4" i="67"/>
  <c r="P4" i="67" s="1"/>
  <c r="J4" i="67"/>
  <c r="I4" i="67"/>
  <c r="G4" i="67"/>
  <c r="H4" i="67" s="1"/>
  <c r="O3" i="67"/>
  <c r="J3" i="67"/>
  <c r="I3" i="67"/>
  <c r="J2" i="67"/>
  <c r="I2" i="67"/>
  <c r="H2" i="67"/>
  <c r="G2" i="67"/>
  <c r="G3" i="67" s="1"/>
  <c r="H3" i="67" s="1"/>
  <c r="J250" i="66"/>
  <c r="I250" i="66"/>
  <c r="J249" i="66"/>
  <c r="I249" i="66"/>
  <c r="J248" i="66"/>
  <c r="I248" i="66"/>
  <c r="J247" i="66"/>
  <c r="I247" i="66"/>
  <c r="J246" i="66"/>
  <c r="I246" i="66"/>
  <c r="J245" i="66"/>
  <c r="I245" i="66"/>
  <c r="J244" i="66"/>
  <c r="I244" i="66"/>
  <c r="J243" i="66"/>
  <c r="I243" i="66"/>
  <c r="J242" i="66"/>
  <c r="I242" i="66"/>
  <c r="J241" i="66"/>
  <c r="I241" i="66"/>
  <c r="J240" i="66"/>
  <c r="I240" i="66"/>
  <c r="J239" i="66"/>
  <c r="I239" i="66"/>
  <c r="J238" i="66"/>
  <c r="I238" i="66"/>
  <c r="J237" i="66"/>
  <c r="I237" i="66"/>
  <c r="J236" i="66"/>
  <c r="I236" i="66"/>
  <c r="J235" i="66"/>
  <c r="I235" i="66"/>
  <c r="J234" i="66"/>
  <c r="I234" i="66"/>
  <c r="J233" i="66"/>
  <c r="I233" i="66"/>
  <c r="J232" i="66"/>
  <c r="I232" i="66"/>
  <c r="J231" i="66"/>
  <c r="I231" i="66"/>
  <c r="J230" i="66"/>
  <c r="I230" i="66"/>
  <c r="J229" i="66"/>
  <c r="I229" i="66"/>
  <c r="J228" i="66"/>
  <c r="I228" i="66"/>
  <c r="J227" i="66"/>
  <c r="I227" i="66"/>
  <c r="J226" i="66"/>
  <c r="I226" i="66"/>
  <c r="J225" i="66"/>
  <c r="I225" i="66"/>
  <c r="J224" i="66"/>
  <c r="I224" i="66"/>
  <c r="J223" i="66"/>
  <c r="I223" i="66"/>
  <c r="J222" i="66"/>
  <c r="I222" i="66"/>
  <c r="J221" i="66"/>
  <c r="I221" i="66"/>
  <c r="J220" i="66"/>
  <c r="I220" i="66"/>
  <c r="J219" i="66"/>
  <c r="I219" i="66"/>
  <c r="J218" i="66"/>
  <c r="I218" i="66"/>
  <c r="J217" i="66"/>
  <c r="I217" i="66"/>
  <c r="J216" i="66"/>
  <c r="I216" i="66"/>
  <c r="J215" i="66"/>
  <c r="I215" i="66"/>
  <c r="J214" i="66"/>
  <c r="I214" i="66"/>
  <c r="J213" i="66"/>
  <c r="I213" i="66"/>
  <c r="J212" i="66"/>
  <c r="I212" i="66"/>
  <c r="J211" i="66"/>
  <c r="I211" i="66"/>
  <c r="J210" i="66"/>
  <c r="I210" i="66"/>
  <c r="J209" i="66"/>
  <c r="I209" i="66"/>
  <c r="J208" i="66"/>
  <c r="I208" i="66"/>
  <c r="J207" i="66"/>
  <c r="I207" i="66"/>
  <c r="J206" i="66"/>
  <c r="I206" i="66"/>
  <c r="J205" i="66"/>
  <c r="I205" i="66"/>
  <c r="J204" i="66"/>
  <c r="I204" i="66"/>
  <c r="J203" i="66"/>
  <c r="I203" i="66"/>
  <c r="J202" i="66"/>
  <c r="I202" i="66"/>
  <c r="J201" i="66"/>
  <c r="I201" i="66"/>
  <c r="J200" i="66"/>
  <c r="I200" i="66"/>
  <c r="J199" i="66"/>
  <c r="I199" i="66"/>
  <c r="J198" i="66"/>
  <c r="I198" i="66"/>
  <c r="J197" i="66"/>
  <c r="I197" i="66"/>
  <c r="J196" i="66"/>
  <c r="I196" i="66"/>
  <c r="J195" i="66"/>
  <c r="I195" i="66"/>
  <c r="J194" i="66"/>
  <c r="I194" i="66"/>
  <c r="J193" i="66"/>
  <c r="I193" i="66"/>
  <c r="J192" i="66"/>
  <c r="I192" i="66"/>
  <c r="J191" i="66"/>
  <c r="I191" i="66"/>
  <c r="J190" i="66"/>
  <c r="I190" i="66"/>
  <c r="J189" i="66"/>
  <c r="I189" i="66"/>
  <c r="J188" i="66"/>
  <c r="I188" i="66"/>
  <c r="J187" i="66"/>
  <c r="I187" i="66"/>
  <c r="J186" i="66"/>
  <c r="I186" i="66"/>
  <c r="J185" i="66"/>
  <c r="I185" i="66"/>
  <c r="J184" i="66"/>
  <c r="I184" i="66"/>
  <c r="J183" i="66"/>
  <c r="I183" i="66"/>
  <c r="J182" i="66"/>
  <c r="I182" i="66"/>
  <c r="J181" i="66"/>
  <c r="I181" i="66"/>
  <c r="J180" i="66"/>
  <c r="I180" i="66"/>
  <c r="J179" i="66"/>
  <c r="I179" i="66"/>
  <c r="J178" i="66"/>
  <c r="I178" i="66"/>
  <c r="J177" i="66"/>
  <c r="I177" i="66"/>
  <c r="J176" i="66"/>
  <c r="I176" i="66"/>
  <c r="J175" i="66"/>
  <c r="I175" i="66"/>
  <c r="J174" i="66"/>
  <c r="I174" i="66"/>
  <c r="J173" i="66"/>
  <c r="I173" i="66"/>
  <c r="J172" i="66"/>
  <c r="I172" i="66"/>
  <c r="J171" i="66"/>
  <c r="I171" i="66"/>
  <c r="J170" i="66"/>
  <c r="I170" i="66"/>
  <c r="J169" i="66"/>
  <c r="I169" i="66"/>
  <c r="J168" i="66"/>
  <c r="I168" i="66"/>
  <c r="J167" i="66"/>
  <c r="I167" i="66"/>
  <c r="J166" i="66"/>
  <c r="I166" i="66"/>
  <c r="J165" i="66"/>
  <c r="I165" i="66"/>
  <c r="J164" i="66"/>
  <c r="I164" i="66"/>
  <c r="J163" i="66"/>
  <c r="I163" i="66"/>
  <c r="J162" i="66"/>
  <c r="I162" i="66"/>
  <c r="J161" i="66"/>
  <c r="I161" i="66"/>
  <c r="J160" i="66"/>
  <c r="I160" i="66"/>
  <c r="J159" i="66"/>
  <c r="I159" i="66"/>
  <c r="J158" i="66"/>
  <c r="I158" i="66"/>
  <c r="J157" i="66"/>
  <c r="I157" i="66"/>
  <c r="J156" i="66"/>
  <c r="I156" i="66"/>
  <c r="J155" i="66"/>
  <c r="I155" i="66"/>
  <c r="J154" i="66"/>
  <c r="I154" i="66"/>
  <c r="J153" i="66"/>
  <c r="I153" i="66"/>
  <c r="J152" i="66"/>
  <c r="I152" i="66"/>
  <c r="J151" i="66"/>
  <c r="I151" i="66"/>
  <c r="J150" i="66"/>
  <c r="I150" i="66"/>
  <c r="J149" i="66"/>
  <c r="I149" i="66"/>
  <c r="J148" i="66"/>
  <c r="I148" i="66"/>
  <c r="J147" i="66"/>
  <c r="I147" i="66"/>
  <c r="J146" i="66"/>
  <c r="I146" i="66"/>
  <c r="J145" i="66"/>
  <c r="I145" i="66"/>
  <c r="J144" i="66"/>
  <c r="I144" i="66"/>
  <c r="J143" i="66"/>
  <c r="I143" i="66"/>
  <c r="J142" i="66"/>
  <c r="I142" i="66"/>
  <c r="J141" i="66"/>
  <c r="I141" i="66"/>
  <c r="J140" i="66"/>
  <c r="I140" i="66"/>
  <c r="J139" i="66"/>
  <c r="I139" i="66"/>
  <c r="J138" i="66"/>
  <c r="I138" i="66"/>
  <c r="J137" i="66"/>
  <c r="I137" i="66"/>
  <c r="J136" i="66"/>
  <c r="I136" i="66"/>
  <c r="J135" i="66"/>
  <c r="I135" i="66"/>
  <c r="J134" i="66"/>
  <c r="I134" i="66"/>
  <c r="J133" i="66"/>
  <c r="I133" i="66"/>
  <c r="J132" i="66"/>
  <c r="I132" i="66"/>
  <c r="J131" i="66"/>
  <c r="I131" i="66"/>
  <c r="J130" i="66"/>
  <c r="I130" i="66"/>
  <c r="J129" i="66"/>
  <c r="I129" i="66"/>
  <c r="J128" i="66"/>
  <c r="I128" i="66"/>
  <c r="J127" i="66"/>
  <c r="I127" i="66"/>
  <c r="J126" i="66"/>
  <c r="I126" i="66"/>
  <c r="J125" i="66"/>
  <c r="I125" i="66"/>
  <c r="J124" i="66"/>
  <c r="I124" i="66"/>
  <c r="J123" i="66"/>
  <c r="I123" i="66"/>
  <c r="J122" i="66"/>
  <c r="I122" i="66"/>
  <c r="J121" i="66"/>
  <c r="I121" i="66"/>
  <c r="J120" i="66"/>
  <c r="I120" i="66"/>
  <c r="J119" i="66"/>
  <c r="I119" i="66"/>
  <c r="J118" i="66"/>
  <c r="I118" i="66"/>
  <c r="J117" i="66"/>
  <c r="I117" i="66"/>
  <c r="J116" i="66"/>
  <c r="I116" i="66"/>
  <c r="J115" i="66"/>
  <c r="I115" i="66"/>
  <c r="J114" i="66"/>
  <c r="I114" i="66"/>
  <c r="J113" i="66"/>
  <c r="I113" i="66"/>
  <c r="J112" i="66"/>
  <c r="I112" i="66"/>
  <c r="J111" i="66"/>
  <c r="I111" i="66"/>
  <c r="J110" i="66"/>
  <c r="I110" i="66"/>
  <c r="J109" i="66"/>
  <c r="I109" i="66"/>
  <c r="J108" i="66"/>
  <c r="I108" i="66"/>
  <c r="J107" i="66"/>
  <c r="I107" i="66"/>
  <c r="J106" i="66"/>
  <c r="I106" i="66"/>
  <c r="J105" i="66"/>
  <c r="I105" i="66"/>
  <c r="J104" i="66"/>
  <c r="I104" i="66"/>
  <c r="J103" i="66"/>
  <c r="I103" i="66"/>
  <c r="J102" i="66"/>
  <c r="I102" i="66"/>
  <c r="J101" i="66"/>
  <c r="I101" i="66"/>
  <c r="J100" i="66"/>
  <c r="I100" i="66"/>
  <c r="J99" i="66"/>
  <c r="I99" i="66"/>
  <c r="J98" i="66"/>
  <c r="I98" i="66"/>
  <c r="J97" i="66"/>
  <c r="I97" i="66"/>
  <c r="J96" i="66"/>
  <c r="I96" i="66"/>
  <c r="J95" i="66"/>
  <c r="I95" i="66"/>
  <c r="J94" i="66"/>
  <c r="I94" i="66"/>
  <c r="J93" i="66"/>
  <c r="I93" i="66"/>
  <c r="J92" i="66"/>
  <c r="I92" i="66"/>
  <c r="J91" i="66"/>
  <c r="I91" i="66"/>
  <c r="J90" i="66"/>
  <c r="I90" i="66"/>
  <c r="J89" i="66"/>
  <c r="I89" i="66"/>
  <c r="J88" i="66"/>
  <c r="I88" i="66"/>
  <c r="J87" i="66"/>
  <c r="I87" i="66"/>
  <c r="J86" i="66"/>
  <c r="I86" i="66"/>
  <c r="J85" i="66"/>
  <c r="I85" i="66"/>
  <c r="J84" i="66"/>
  <c r="I84" i="66"/>
  <c r="J83" i="66"/>
  <c r="I83" i="66"/>
  <c r="J82" i="66"/>
  <c r="I82" i="66"/>
  <c r="J81" i="66"/>
  <c r="I81" i="66"/>
  <c r="J80" i="66"/>
  <c r="I80" i="66"/>
  <c r="J79" i="66"/>
  <c r="I79" i="66"/>
  <c r="J78" i="66"/>
  <c r="I78" i="66"/>
  <c r="J77" i="66"/>
  <c r="I77" i="66"/>
  <c r="J76" i="66"/>
  <c r="I76" i="66"/>
  <c r="J75" i="66"/>
  <c r="I75" i="66"/>
  <c r="J74" i="66"/>
  <c r="I74" i="66"/>
  <c r="J73" i="66"/>
  <c r="I73" i="66"/>
  <c r="J72" i="66"/>
  <c r="I72" i="66"/>
  <c r="J71" i="66"/>
  <c r="I71" i="66"/>
  <c r="J70" i="66"/>
  <c r="I70" i="66"/>
  <c r="J69" i="66"/>
  <c r="I69" i="66"/>
  <c r="J68" i="66"/>
  <c r="I68" i="66"/>
  <c r="J67" i="66"/>
  <c r="I67" i="66"/>
  <c r="J66" i="66"/>
  <c r="I66" i="66"/>
  <c r="J65" i="66"/>
  <c r="I65" i="66"/>
  <c r="J64" i="66"/>
  <c r="I64" i="66"/>
  <c r="J63" i="66"/>
  <c r="I63" i="66"/>
  <c r="J62" i="66"/>
  <c r="I62" i="66"/>
  <c r="J61" i="66"/>
  <c r="I61" i="66"/>
  <c r="J60" i="66"/>
  <c r="I60" i="66"/>
  <c r="J59" i="66"/>
  <c r="I59" i="66"/>
  <c r="J58" i="66"/>
  <c r="I58" i="66"/>
  <c r="J57" i="66"/>
  <c r="I57" i="66"/>
  <c r="J56" i="66"/>
  <c r="I56" i="66"/>
  <c r="J55" i="66"/>
  <c r="I55" i="66"/>
  <c r="J54" i="66"/>
  <c r="I54" i="66"/>
  <c r="J53" i="66"/>
  <c r="I53" i="66"/>
  <c r="J52" i="66"/>
  <c r="I52" i="66"/>
  <c r="J51" i="66"/>
  <c r="I51" i="66"/>
  <c r="J50" i="66"/>
  <c r="I50" i="66"/>
  <c r="G50" i="66"/>
  <c r="G51" i="66" s="1"/>
  <c r="J49" i="66"/>
  <c r="I49" i="66"/>
  <c r="G49" i="66"/>
  <c r="H49" i="66" s="1"/>
  <c r="J48" i="66"/>
  <c r="I48" i="66"/>
  <c r="J47" i="66"/>
  <c r="I47" i="66"/>
  <c r="G47" i="66"/>
  <c r="H47" i="66" s="1"/>
  <c r="J46" i="66"/>
  <c r="I46" i="66"/>
  <c r="J45" i="66"/>
  <c r="I45" i="66"/>
  <c r="G45" i="66"/>
  <c r="H45" i="66" s="1"/>
  <c r="J44" i="66"/>
  <c r="I44" i="66"/>
  <c r="J43" i="66"/>
  <c r="I43" i="66"/>
  <c r="G43" i="66"/>
  <c r="G44" i="66" s="1"/>
  <c r="H44" i="66" s="1"/>
  <c r="J42" i="66"/>
  <c r="I42" i="66"/>
  <c r="J41" i="66"/>
  <c r="I41" i="66"/>
  <c r="G41" i="66"/>
  <c r="H41" i="66" s="1"/>
  <c r="J40" i="66"/>
  <c r="I40" i="66"/>
  <c r="J39" i="66"/>
  <c r="I39" i="66"/>
  <c r="G39" i="66"/>
  <c r="G40" i="66" s="1"/>
  <c r="H40" i="66" s="1"/>
  <c r="J38" i="66"/>
  <c r="I38" i="66"/>
  <c r="G38" i="66"/>
  <c r="H38" i="66" s="1"/>
  <c r="J37" i="66"/>
  <c r="I37" i="66"/>
  <c r="J36" i="66"/>
  <c r="I36" i="66"/>
  <c r="G36" i="66"/>
  <c r="H36" i="66" s="1"/>
  <c r="J35" i="66"/>
  <c r="I35" i="66"/>
  <c r="G35" i="66"/>
  <c r="H35" i="66" s="1"/>
  <c r="J34" i="66"/>
  <c r="I34" i="66"/>
  <c r="J33" i="66"/>
  <c r="I33" i="66"/>
  <c r="G33" i="66"/>
  <c r="G34" i="66" s="1"/>
  <c r="H34" i="66" s="1"/>
  <c r="J32" i="66"/>
  <c r="I32" i="66"/>
  <c r="J31" i="66"/>
  <c r="I31" i="66"/>
  <c r="J30" i="66"/>
  <c r="I30" i="66"/>
  <c r="J29" i="66"/>
  <c r="I29" i="66"/>
  <c r="G29" i="66"/>
  <c r="G30" i="66" s="1"/>
  <c r="J28" i="66"/>
  <c r="I28" i="66"/>
  <c r="G28" i="66"/>
  <c r="H28" i="66" s="1"/>
  <c r="J27" i="66"/>
  <c r="I27" i="66"/>
  <c r="J26" i="66"/>
  <c r="I26" i="66"/>
  <c r="G26" i="66"/>
  <c r="H26" i="66" s="1"/>
  <c r="J25" i="66"/>
  <c r="I25" i="66"/>
  <c r="J24" i="66"/>
  <c r="I24" i="66"/>
  <c r="J23" i="66"/>
  <c r="I23" i="66"/>
  <c r="J22" i="66"/>
  <c r="I22" i="66"/>
  <c r="G22" i="66"/>
  <c r="G23" i="66" s="1"/>
  <c r="J21" i="66"/>
  <c r="I21" i="66"/>
  <c r="G21" i="66"/>
  <c r="H21" i="66" s="1"/>
  <c r="J20" i="66"/>
  <c r="I20" i="66"/>
  <c r="G20" i="66"/>
  <c r="H20" i="66" s="1"/>
  <c r="J19" i="66"/>
  <c r="I19" i="66"/>
  <c r="G19" i="66"/>
  <c r="H19" i="66" s="1"/>
  <c r="J18" i="66"/>
  <c r="I18" i="66"/>
  <c r="G18" i="66"/>
  <c r="H18" i="66" s="1"/>
  <c r="J17" i="66"/>
  <c r="I17" i="66"/>
  <c r="G17" i="66"/>
  <c r="H17" i="66" s="1"/>
  <c r="O16" i="66"/>
  <c r="J16" i="66"/>
  <c r="I16" i="66"/>
  <c r="J15" i="66"/>
  <c r="I15" i="66"/>
  <c r="G15" i="66"/>
  <c r="H15" i="66" s="1"/>
  <c r="P14" i="66"/>
  <c r="N14" i="66"/>
  <c r="J14" i="66"/>
  <c r="I14" i="66"/>
  <c r="O13" i="66"/>
  <c r="J13" i="66"/>
  <c r="I13" i="66"/>
  <c r="G13" i="66"/>
  <c r="G14" i="66" s="1"/>
  <c r="H14" i="66" s="1"/>
  <c r="O12" i="66"/>
  <c r="J12" i="66"/>
  <c r="I12" i="66"/>
  <c r="O11" i="66"/>
  <c r="J11" i="66"/>
  <c r="I11" i="66"/>
  <c r="G11" i="66"/>
  <c r="H11" i="66" s="1"/>
  <c r="O10" i="66"/>
  <c r="J10" i="66"/>
  <c r="I10" i="66"/>
  <c r="G10" i="66"/>
  <c r="H10" i="66" s="1"/>
  <c r="O9" i="66"/>
  <c r="J9" i="66"/>
  <c r="I9" i="66"/>
  <c r="O8" i="66"/>
  <c r="J8" i="66"/>
  <c r="I8" i="66"/>
  <c r="G8" i="66"/>
  <c r="H8" i="66" s="1"/>
  <c r="O7" i="66"/>
  <c r="J7" i="66"/>
  <c r="I7" i="66"/>
  <c r="O6" i="66"/>
  <c r="J6" i="66"/>
  <c r="I6" i="66"/>
  <c r="G6" i="66"/>
  <c r="G7" i="66" s="1"/>
  <c r="H7" i="66" s="1"/>
  <c r="O5" i="66"/>
  <c r="J5" i="66"/>
  <c r="I5" i="66"/>
  <c r="O4" i="66"/>
  <c r="J4" i="66"/>
  <c r="I4" i="66"/>
  <c r="G4" i="66"/>
  <c r="H4" i="66" s="1"/>
  <c r="O3" i="66"/>
  <c r="J3" i="66"/>
  <c r="I3" i="66"/>
  <c r="J2" i="66"/>
  <c r="I2" i="66"/>
  <c r="H2" i="66"/>
  <c r="G2" i="66"/>
  <c r="G3" i="66" s="1"/>
  <c r="H3" i="66" s="1"/>
  <c r="J250" i="65"/>
  <c r="I250" i="65"/>
  <c r="J249" i="65"/>
  <c r="I249" i="65"/>
  <c r="J248" i="65"/>
  <c r="I248" i="65"/>
  <c r="J247" i="65"/>
  <c r="I247" i="65"/>
  <c r="J246" i="65"/>
  <c r="I246" i="65"/>
  <c r="J245" i="65"/>
  <c r="I245" i="65"/>
  <c r="J244" i="65"/>
  <c r="I244" i="65"/>
  <c r="J243" i="65"/>
  <c r="I243" i="65"/>
  <c r="J242" i="65"/>
  <c r="I242" i="65"/>
  <c r="J241" i="65"/>
  <c r="I241" i="65"/>
  <c r="J240" i="65"/>
  <c r="I240" i="65"/>
  <c r="J239" i="65"/>
  <c r="I239" i="65"/>
  <c r="J238" i="65"/>
  <c r="I238" i="65"/>
  <c r="J237" i="65"/>
  <c r="I237" i="65"/>
  <c r="J236" i="65"/>
  <c r="I236" i="65"/>
  <c r="J235" i="65"/>
  <c r="I235" i="65"/>
  <c r="J234" i="65"/>
  <c r="I234" i="65"/>
  <c r="J233" i="65"/>
  <c r="I233" i="65"/>
  <c r="J232" i="65"/>
  <c r="I232" i="65"/>
  <c r="J231" i="65"/>
  <c r="I231" i="65"/>
  <c r="J230" i="65"/>
  <c r="I230" i="65"/>
  <c r="J229" i="65"/>
  <c r="I229" i="65"/>
  <c r="J228" i="65"/>
  <c r="I228" i="65"/>
  <c r="J227" i="65"/>
  <c r="I227" i="65"/>
  <c r="J226" i="65"/>
  <c r="I226" i="65"/>
  <c r="J225" i="65"/>
  <c r="I225" i="65"/>
  <c r="J224" i="65"/>
  <c r="I224" i="65"/>
  <c r="J223" i="65"/>
  <c r="I223" i="65"/>
  <c r="J222" i="65"/>
  <c r="I222" i="65"/>
  <c r="J221" i="65"/>
  <c r="I221" i="65"/>
  <c r="J220" i="65"/>
  <c r="I220" i="65"/>
  <c r="J219" i="65"/>
  <c r="I219" i="65"/>
  <c r="J218" i="65"/>
  <c r="I218" i="65"/>
  <c r="J217" i="65"/>
  <c r="I217" i="65"/>
  <c r="J216" i="65"/>
  <c r="I216" i="65"/>
  <c r="J215" i="65"/>
  <c r="I215" i="65"/>
  <c r="J214" i="65"/>
  <c r="I214" i="65"/>
  <c r="J213" i="65"/>
  <c r="I213" i="65"/>
  <c r="J212" i="65"/>
  <c r="I212" i="65"/>
  <c r="J211" i="65"/>
  <c r="I211" i="65"/>
  <c r="J210" i="65"/>
  <c r="I210" i="65"/>
  <c r="J209" i="65"/>
  <c r="I209" i="65"/>
  <c r="J208" i="65"/>
  <c r="I208" i="65"/>
  <c r="J207" i="65"/>
  <c r="I207" i="65"/>
  <c r="J206" i="65"/>
  <c r="I206" i="65"/>
  <c r="J205" i="65"/>
  <c r="I205" i="65"/>
  <c r="J204" i="65"/>
  <c r="I204" i="65"/>
  <c r="J203" i="65"/>
  <c r="I203" i="65"/>
  <c r="J202" i="65"/>
  <c r="I202" i="65"/>
  <c r="J201" i="65"/>
  <c r="I201" i="65"/>
  <c r="J200" i="65"/>
  <c r="I200" i="65"/>
  <c r="J199" i="65"/>
  <c r="I199" i="65"/>
  <c r="J198" i="65"/>
  <c r="I198" i="65"/>
  <c r="J197" i="65"/>
  <c r="I197" i="65"/>
  <c r="J196" i="65"/>
  <c r="I196" i="65"/>
  <c r="J195" i="65"/>
  <c r="I195" i="65"/>
  <c r="J194" i="65"/>
  <c r="I194" i="65"/>
  <c r="J193" i="65"/>
  <c r="I193" i="65"/>
  <c r="J192" i="65"/>
  <c r="I192" i="65"/>
  <c r="J191" i="65"/>
  <c r="I191" i="65"/>
  <c r="J190" i="65"/>
  <c r="I190" i="65"/>
  <c r="J189" i="65"/>
  <c r="I189" i="65"/>
  <c r="J188" i="65"/>
  <c r="I188" i="65"/>
  <c r="J187" i="65"/>
  <c r="I187" i="65"/>
  <c r="J186" i="65"/>
  <c r="I186" i="65"/>
  <c r="J185" i="65"/>
  <c r="I185" i="65"/>
  <c r="J184" i="65"/>
  <c r="I184" i="65"/>
  <c r="J183" i="65"/>
  <c r="I183" i="65"/>
  <c r="J182" i="65"/>
  <c r="I182" i="65"/>
  <c r="J181" i="65"/>
  <c r="I181" i="65"/>
  <c r="J180" i="65"/>
  <c r="I180" i="65"/>
  <c r="J179" i="65"/>
  <c r="I179" i="65"/>
  <c r="J178" i="65"/>
  <c r="I178" i="65"/>
  <c r="J177" i="65"/>
  <c r="I177" i="65"/>
  <c r="J176" i="65"/>
  <c r="I176" i="65"/>
  <c r="J175" i="65"/>
  <c r="I175" i="65"/>
  <c r="J174" i="65"/>
  <c r="I174" i="65"/>
  <c r="J173" i="65"/>
  <c r="I173" i="65"/>
  <c r="J172" i="65"/>
  <c r="I172" i="65"/>
  <c r="J171" i="65"/>
  <c r="I171" i="65"/>
  <c r="J170" i="65"/>
  <c r="I170" i="65"/>
  <c r="J169" i="65"/>
  <c r="I169" i="65"/>
  <c r="J168" i="65"/>
  <c r="I168" i="65"/>
  <c r="J167" i="65"/>
  <c r="I167" i="65"/>
  <c r="J166" i="65"/>
  <c r="I166" i="65"/>
  <c r="J165" i="65"/>
  <c r="I165" i="65"/>
  <c r="J164" i="65"/>
  <c r="I164" i="65"/>
  <c r="J163" i="65"/>
  <c r="I163" i="65"/>
  <c r="J162" i="65"/>
  <c r="I162" i="65"/>
  <c r="J161" i="65"/>
  <c r="I161" i="65"/>
  <c r="J160" i="65"/>
  <c r="I160" i="65"/>
  <c r="J159" i="65"/>
  <c r="I159" i="65"/>
  <c r="J158" i="65"/>
  <c r="I158" i="65"/>
  <c r="J157" i="65"/>
  <c r="I157" i="65"/>
  <c r="J156" i="65"/>
  <c r="I156" i="65"/>
  <c r="J155" i="65"/>
  <c r="I155" i="65"/>
  <c r="J154" i="65"/>
  <c r="I154" i="65"/>
  <c r="J153" i="65"/>
  <c r="I153" i="65"/>
  <c r="J152" i="65"/>
  <c r="I152" i="65"/>
  <c r="J151" i="65"/>
  <c r="I151" i="65"/>
  <c r="J150" i="65"/>
  <c r="I150" i="65"/>
  <c r="J149" i="65"/>
  <c r="I149" i="65"/>
  <c r="J148" i="65"/>
  <c r="I148" i="65"/>
  <c r="J147" i="65"/>
  <c r="I147" i="65"/>
  <c r="J146" i="65"/>
  <c r="I146" i="65"/>
  <c r="J145" i="65"/>
  <c r="I145" i="65"/>
  <c r="J144" i="65"/>
  <c r="I144" i="65"/>
  <c r="J143" i="65"/>
  <c r="I143" i="65"/>
  <c r="J142" i="65"/>
  <c r="I142" i="65"/>
  <c r="J141" i="65"/>
  <c r="I141" i="65"/>
  <c r="J140" i="65"/>
  <c r="I140" i="65"/>
  <c r="J139" i="65"/>
  <c r="I139" i="65"/>
  <c r="J138" i="65"/>
  <c r="I138" i="65"/>
  <c r="J137" i="65"/>
  <c r="I137" i="65"/>
  <c r="J136" i="65"/>
  <c r="I136" i="65"/>
  <c r="J135" i="65"/>
  <c r="I135" i="65"/>
  <c r="J134" i="65"/>
  <c r="I134" i="65"/>
  <c r="J133" i="65"/>
  <c r="I133" i="65"/>
  <c r="J132" i="65"/>
  <c r="I132" i="65"/>
  <c r="J131" i="65"/>
  <c r="I131" i="65"/>
  <c r="J130" i="65"/>
  <c r="I130" i="65"/>
  <c r="J129" i="65"/>
  <c r="I129" i="65"/>
  <c r="J128" i="65"/>
  <c r="I128" i="65"/>
  <c r="J127" i="65"/>
  <c r="I127" i="65"/>
  <c r="J126" i="65"/>
  <c r="I126" i="65"/>
  <c r="J125" i="65"/>
  <c r="I125" i="65"/>
  <c r="J124" i="65"/>
  <c r="I124" i="65"/>
  <c r="J123" i="65"/>
  <c r="I123" i="65"/>
  <c r="J122" i="65"/>
  <c r="I122" i="65"/>
  <c r="J121" i="65"/>
  <c r="I121" i="65"/>
  <c r="J120" i="65"/>
  <c r="I120" i="65"/>
  <c r="J119" i="65"/>
  <c r="I119" i="65"/>
  <c r="J118" i="65"/>
  <c r="I118" i="65"/>
  <c r="J117" i="65"/>
  <c r="I117" i="65"/>
  <c r="J116" i="65"/>
  <c r="I116" i="65"/>
  <c r="J115" i="65"/>
  <c r="I115" i="65"/>
  <c r="J114" i="65"/>
  <c r="I114" i="65"/>
  <c r="J113" i="65"/>
  <c r="I113" i="65"/>
  <c r="J112" i="65"/>
  <c r="I112" i="65"/>
  <c r="J111" i="65"/>
  <c r="I111" i="65"/>
  <c r="J110" i="65"/>
  <c r="I110" i="65"/>
  <c r="J109" i="65"/>
  <c r="I109" i="65"/>
  <c r="J108" i="65"/>
  <c r="I108" i="65"/>
  <c r="J107" i="65"/>
  <c r="I107" i="65"/>
  <c r="J106" i="65"/>
  <c r="I106" i="65"/>
  <c r="J105" i="65"/>
  <c r="I105" i="65"/>
  <c r="J104" i="65"/>
  <c r="I104" i="65"/>
  <c r="J103" i="65"/>
  <c r="I103" i="65"/>
  <c r="J102" i="65"/>
  <c r="I102" i="65"/>
  <c r="J101" i="65"/>
  <c r="I101" i="65"/>
  <c r="J100" i="65"/>
  <c r="I100" i="65"/>
  <c r="J99" i="65"/>
  <c r="I99" i="65"/>
  <c r="J98" i="65"/>
  <c r="I98" i="65"/>
  <c r="J97" i="65"/>
  <c r="I97" i="65"/>
  <c r="J96" i="65"/>
  <c r="I96" i="65"/>
  <c r="J95" i="65"/>
  <c r="I95" i="65"/>
  <c r="J94" i="65"/>
  <c r="I94" i="65"/>
  <c r="J93" i="65"/>
  <c r="I93" i="65"/>
  <c r="J92" i="65"/>
  <c r="I92" i="65"/>
  <c r="J91" i="65"/>
  <c r="I91" i="65"/>
  <c r="J90" i="65"/>
  <c r="I90" i="65"/>
  <c r="J89" i="65"/>
  <c r="I89" i="65"/>
  <c r="J88" i="65"/>
  <c r="I88" i="65"/>
  <c r="J87" i="65"/>
  <c r="I87" i="65"/>
  <c r="J86" i="65"/>
  <c r="I86" i="65"/>
  <c r="J85" i="65"/>
  <c r="I85" i="65"/>
  <c r="J84" i="65"/>
  <c r="I84" i="65"/>
  <c r="J83" i="65"/>
  <c r="I83" i="65"/>
  <c r="J82" i="65"/>
  <c r="I82" i="65"/>
  <c r="J81" i="65"/>
  <c r="I81" i="65"/>
  <c r="J80" i="65"/>
  <c r="I80" i="65"/>
  <c r="J79" i="65"/>
  <c r="I79" i="65"/>
  <c r="J78" i="65"/>
  <c r="I78" i="65"/>
  <c r="J77" i="65"/>
  <c r="I77" i="65"/>
  <c r="J76" i="65"/>
  <c r="I76" i="65"/>
  <c r="J75" i="65"/>
  <c r="I75" i="65"/>
  <c r="J74" i="65"/>
  <c r="I74" i="65"/>
  <c r="J73" i="65"/>
  <c r="I73" i="65"/>
  <c r="J72" i="65"/>
  <c r="I72" i="65"/>
  <c r="J71" i="65"/>
  <c r="I71" i="65"/>
  <c r="J70" i="65"/>
  <c r="I70" i="65"/>
  <c r="J69" i="65"/>
  <c r="I69" i="65"/>
  <c r="J68" i="65"/>
  <c r="I68" i="65"/>
  <c r="J67" i="65"/>
  <c r="I67" i="65"/>
  <c r="J66" i="65"/>
  <c r="I66" i="65"/>
  <c r="J65" i="65"/>
  <c r="I65" i="65"/>
  <c r="J64" i="65"/>
  <c r="I64" i="65"/>
  <c r="J63" i="65"/>
  <c r="I63" i="65"/>
  <c r="J62" i="65"/>
  <c r="I62" i="65"/>
  <c r="J61" i="65"/>
  <c r="I61" i="65"/>
  <c r="J60" i="65"/>
  <c r="I60" i="65"/>
  <c r="J59" i="65"/>
  <c r="I59" i="65"/>
  <c r="J58" i="65"/>
  <c r="I58" i="65"/>
  <c r="J57" i="65"/>
  <c r="I57" i="65"/>
  <c r="J56" i="65"/>
  <c r="I56" i="65"/>
  <c r="J55" i="65"/>
  <c r="I55" i="65"/>
  <c r="J54" i="65"/>
  <c r="I54" i="65"/>
  <c r="J53" i="65"/>
  <c r="I53" i="65"/>
  <c r="J52" i="65"/>
  <c r="I52" i="65"/>
  <c r="J51" i="65"/>
  <c r="I51" i="65"/>
  <c r="J50" i="65"/>
  <c r="I50" i="65"/>
  <c r="G50" i="65"/>
  <c r="G51" i="65" s="1"/>
  <c r="J49" i="65"/>
  <c r="I49" i="65"/>
  <c r="G49" i="65"/>
  <c r="H49" i="65" s="1"/>
  <c r="J48" i="65"/>
  <c r="I48" i="65"/>
  <c r="J47" i="65"/>
  <c r="I47" i="65"/>
  <c r="G47" i="65"/>
  <c r="H47" i="65" s="1"/>
  <c r="J46" i="65"/>
  <c r="I46" i="65"/>
  <c r="J45" i="65"/>
  <c r="I45" i="65"/>
  <c r="G45" i="65"/>
  <c r="G46" i="65" s="1"/>
  <c r="H46" i="65" s="1"/>
  <c r="J44" i="65"/>
  <c r="I44" i="65"/>
  <c r="J43" i="65"/>
  <c r="I43" i="65"/>
  <c r="G43" i="65"/>
  <c r="G44" i="65" s="1"/>
  <c r="H44" i="65" s="1"/>
  <c r="J42" i="65"/>
  <c r="I42" i="65"/>
  <c r="J41" i="65"/>
  <c r="I41" i="65"/>
  <c r="G41" i="65"/>
  <c r="H41" i="65" s="1"/>
  <c r="J40" i="65"/>
  <c r="I40" i="65"/>
  <c r="J39" i="65"/>
  <c r="I39" i="65"/>
  <c r="G39" i="65"/>
  <c r="G40" i="65" s="1"/>
  <c r="H40" i="65" s="1"/>
  <c r="J38" i="65"/>
  <c r="I38" i="65"/>
  <c r="G38" i="65"/>
  <c r="H38" i="65" s="1"/>
  <c r="J37" i="65"/>
  <c r="I37" i="65"/>
  <c r="J36" i="65"/>
  <c r="I36" i="65"/>
  <c r="G36" i="65"/>
  <c r="H36" i="65" s="1"/>
  <c r="J35" i="65"/>
  <c r="I35" i="65"/>
  <c r="G35" i="65"/>
  <c r="H35" i="65" s="1"/>
  <c r="J34" i="65"/>
  <c r="I34" i="65"/>
  <c r="J33" i="65"/>
  <c r="I33" i="65"/>
  <c r="G33" i="65"/>
  <c r="J32" i="65"/>
  <c r="I32" i="65"/>
  <c r="J31" i="65"/>
  <c r="I31" i="65"/>
  <c r="J30" i="65"/>
  <c r="I30" i="65"/>
  <c r="J29" i="65"/>
  <c r="I29" i="65"/>
  <c r="G29" i="65"/>
  <c r="G30" i="65" s="1"/>
  <c r="J28" i="65"/>
  <c r="I28" i="65"/>
  <c r="G28" i="65"/>
  <c r="H28" i="65" s="1"/>
  <c r="J27" i="65"/>
  <c r="I27" i="65"/>
  <c r="J26" i="65"/>
  <c r="I26" i="65"/>
  <c r="G26" i="65"/>
  <c r="G27" i="65" s="1"/>
  <c r="H27" i="65" s="1"/>
  <c r="J25" i="65"/>
  <c r="I25" i="65"/>
  <c r="J24" i="65"/>
  <c r="I24" i="65"/>
  <c r="J23" i="65"/>
  <c r="I23" i="65"/>
  <c r="J22" i="65"/>
  <c r="I22" i="65"/>
  <c r="G22" i="65"/>
  <c r="J21" i="65"/>
  <c r="I21" i="65"/>
  <c r="G21" i="65"/>
  <c r="H21" i="65" s="1"/>
  <c r="J20" i="65"/>
  <c r="I20" i="65"/>
  <c r="G20" i="65"/>
  <c r="H20" i="65" s="1"/>
  <c r="J19" i="65"/>
  <c r="I19" i="65"/>
  <c r="G19" i="65"/>
  <c r="H19" i="65" s="1"/>
  <c r="J18" i="65"/>
  <c r="I18" i="65"/>
  <c r="G18" i="65"/>
  <c r="H18" i="65" s="1"/>
  <c r="J17" i="65"/>
  <c r="I17" i="65"/>
  <c r="G17" i="65"/>
  <c r="H17" i="65" s="1"/>
  <c r="O16" i="65"/>
  <c r="J16" i="65"/>
  <c r="I16" i="65"/>
  <c r="J15" i="65"/>
  <c r="I15" i="65"/>
  <c r="G15" i="65"/>
  <c r="H15" i="65" s="1"/>
  <c r="P14" i="65"/>
  <c r="N14" i="65"/>
  <c r="J14" i="65"/>
  <c r="I14" i="65"/>
  <c r="O13" i="65"/>
  <c r="J13" i="65"/>
  <c r="I13" i="65"/>
  <c r="G13" i="65"/>
  <c r="G14" i="65" s="1"/>
  <c r="H14" i="65" s="1"/>
  <c r="O12" i="65"/>
  <c r="J12" i="65"/>
  <c r="I12" i="65"/>
  <c r="O11" i="65"/>
  <c r="J11" i="65"/>
  <c r="I11" i="65"/>
  <c r="G11" i="65"/>
  <c r="H11" i="65" s="1"/>
  <c r="O10" i="65"/>
  <c r="J10" i="65"/>
  <c r="I10" i="65"/>
  <c r="G10" i="65"/>
  <c r="H10" i="65" s="1"/>
  <c r="O9" i="65"/>
  <c r="J9" i="65"/>
  <c r="I9" i="65"/>
  <c r="O8" i="65"/>
  <c r="J8" i="65"/>
  <c r="I8" i="65"/>
  <c r="G8" i="65"/>
  <c r="G9" i="65" s="1"/>
  <c r="H9" i="65" s="1"/>
  <c r="O7" i="65"/>
  <c r="J7" i="65"/>
  <c r="I7" i="65"/>
  <c r="O6" i="65"/>
  <c r="J6" i="65"/>
  <c r="I6" i="65"/>
  <c r="G6" i="65"/>
  <c r="G7" i="65" s="1"/>
  <c r="H7" i="65" s="1"/>
  <c r="O5" i="65"/>
  <c r="J5" i="65"/>
  <c r="I5" i="65"/>
  <c r="O4" i="65"/>
  <c r="J4" i="65"/>
  <c r="I4" i="65"/>
  <c r="G4" i="65"/>
  <c r="G5" i="65" s="1"/>
  <c r="H5" i="65" s="1"/>
  <c r="O3" i="65"/>
  <c r="J3" i="65"/>
  <c r="I3" i="65"/>
  <c r="J2" i="65"/>
  <c r="I2" i="65"/>
  <c r="H2" i="65"/>
  <c r="G2" i="65"/>
  <c r="G3" i="65" s="1"/>
  <c r="H3" i="65" s="1"/>
  <c r="J250" i="64"/>
  <c r="I250" i="64"/>
  <c r="J249" i="64"/>
  <c r="I249" i="64"/>
  <c r="J248" i="64"/>
  <c r="I248" i="64"/>
  <c r="J247" i="64"/>
  <c r="I247" i="64"/>
  <c r="J246" i="64"/>
  <c r="I246" i="64"/>
  <c r="J245" i="64"/>
  <c r="I245" i="64"/>
  <c r="J244" i="64"/>
  <c r="I244" i="64"/>
  <c r="J243" i="64"/>
  <c r="I243" i="64"/>
  <c r="J242" i="64"/>
  <c r="I242" i="64"/>
  <c r="J241" i="64"/>
  <c r="I241" i="64"/>
  <c r="J240" i="64"/>
  <c r="I240" i="64"/>
  <c r="J239" i="64"/>
  <c r="I239" i="64"/>
  <c r="J238" i="64"/>
  <c r="I238" i="64"/>
  <c r="J237" i="64"/>
  <c r="I237" i="64"/>
  <c r="J236" i="64"/>
  <c r="I236" i="64"/>
  <c r="J235" i="64"/>
  <c r="I235" i="64"/>
  <c r="J234" i="64"/>
  <c r="I234" i="64"/>
  <c r="J233" i="64"/>
  <c r="I233" i="64"/>
  <c r="J232" i="64"/>
  <c r="I232" i="64"/>
  <c r="J231" i="64"/>
  <c r="I231" i="64"/>
  <c r="J230" i="64"/>
  <c r="I230" i="64"/>
  <c r="J229" i="64"/>
  <c r="I229" i="64"/>
  <c r="J228" i="64"/>
  <c r="I228" i="64"/>
  <c r="J227" i="64"/>
  <c r="I227" i="64"/>
  <c r="J226" i="64"/>
  <c r="I226" i="64"/>
  <c r="J225" i="64"/>
  <c r="I225" i="64"/>
  <c r="J224" i="64"/>
  <c r="I224" i="64"/>
  <c r="J223" i="64"/>
  <c r="I223" i="64"/>
  <c r="J222" i="64"/>
  <c r="I222" i="64"/>
  <c r="J221" i="64"/>
  <c r="I221" i="64"/>
  <c r="J220" i="64"/>
  <c r="I220" i="64"/>
  <c r="J219" i="64"/>
  <c r="I219" i="64"/>
  <c r="J218" i="64"/>
  <c r="I218" i="64"/>
  <c r="J217" i="64"/>
  <c r="I217" i="64"/>
  <c r="J216" i="64"/>
  <c r="I216" i="64"/>
  <c r="J215" i="64"/>
  <c r="I215" i="64"/>
  <c r="J214" i="64"/>
  <c r="I214" i="64"/>
  <c r="J213" i="64"/>
  <c r="I213" i="64"/>
  <c r="J212" i="64"/>
  <c r="I212" i="64"/>
  <c r="J211" i="64"/>
  <c r="I211" i="64"/>
  <c r="J210" i="64"/>
  <c r="I210" i="64"/>
  <c r="J209" i="64"/>
  <c r="I209" i="64"/>
  <c r="J208" i="64"/>
  <c r="I208" i="64"/>
  <c r="J207" i="64"/>
  <c r="I207" i="64"/>
  <c r="J206" i="64"/>
  <c r="I206" i="64"/>
  <c r="J205" i="64"/>
  <c r="I205" i="64"/>
  <c r="J204" i="64"/>
  <c r="I204" i="64"/>
  <c r="J203" i="64"/>
  <c r="I203" i="64"/>
  <c r="J202" i="64"/>
  <c r="I202" i="64"/>
  <c r="J201" i="64"/>
  <c r="I201" i="64"/>
  <c r="J200" i="64"/>
  <c r="I200" i="64"/>
  <c r="J199" i="64"/>
  <c r="I199" i="64"/>
  <c r="J198" i="64"/>
  <c r="I198" i="64"/>
  <c r="J197" i="64"/>
  <c r="I197" i="64"/>
  <c r="J196" i="64"/>
  <c r="I196" i="64"/>
  <c r="J195" i="64"/>
  <c r="I195" i="64"/>
  <c r="J194" i="64"/>
  <c r="I194" i="64"/>
  <c r="J193" i="64"/>
  <c r="I193" i="64"/>
  <c r="J192" i="64"/>
  <c r="I192" i="64"/>
  <c r="J191" i="64"/>
  <c r="I191" i="64"/>
  <c r="J190" i="64"/>
  <c r="I190" i="64"/>
  <c r="J189" i="64"/>
  <c r="I189" i="64"/>
  <c r="J188" i="64"/>
  <c r="I188" i="64"/>
  <c r="J187" i="64"/>
  <c r="I187" i="64"/>
  <c r="J186" i="64"/>
  <c r="I186" i="64"/>
  <c r="J185" i="64"/>
  <c r="I185" i="64"/>
  <c r="J184" i="64"/>
  <c r="I184" i="64"/>
  <c r="J183" i="64"/>
  <c r="I183" i="64"/>
  <c r="J182" i="64"/>
  <c r="I182" i="64"/>
  <c r="J181" i="64"/>
  <c r="I181" i="64"/>
  <c r="J180" i="64"/>
  <c r="I180" i="64"/>
  <c r="J179" i="64"/>
  <c r="I179" i="64"/>
  <c r="J178" i="64"/>
  <c r="I178" i="64"/>
  <c r="J177" i="64"/>
  <c r="I177" i="64"/>
  <c r="J176" i="64"/>
  <c r="I176" i="64"/>
  <c r="J175" i="64"/>
  <c r="I175" i="64"/>
  <c r="J174" i="64"/>
  <c r="I174" i="64"/>
  <c r="J173" i="64"/>
  <c r="I173" i="64"/>
  <c r="J172" i="64"/>
  <c r="I172" i="64"/>
  <c r="J171" i="64"/>
  <c r="I171" i="64"/>
  <c r="J170" i="64"/>
  <c r="I170" i="64"/>
  <c r="J169" i="64"/>
  <c r="I169" i="64"/>
  <c r="J168" i="64"/>
  <c r="I168" i="64"/>
  <c r="J167" i="64"/>
  <c r="I167" i="64"/>
  <c r="J166" i="64"/>
  <c r="I166" i="64"/>
  <c r="J165" i="64"/>
  <c r="I165" i="64"/>
  <c r="J164" i="64"/>
  <c r="I164" i="64"/>
  <c r="J163" i="64"/>
  <c r="I163" i="64"/>
  <c r="J162" i="64"/>
  <c r="I162" i="64"/>
  <c r="J161" i="64"/>
  <c r="I161" i="64"/>
  <c r="J160" i="64"/>
  <c r="I160" i="64"/>
  <c r="J159" i="64"/>
  <c r="I159" i="64"/>
  <c r="J158" i="64"/>
  <c r="I158" i="64"/>
  <c r="J157" i="64"/>
  <c r="I157" i="64"/>
  <c r="J156" i="64"/>
  <c r="I156" i="64"/>
  <c r="J155" i="64"/>
  <c r="I155" i="64"/>
  <c r="J154" i="64"/>
  <c r="I154" i="64"/>
  <c r="J153" i="64"/>
  <c r="I153" i="64"/>
  <c r="J152" i="64"/>
  <c r="I152" i="64"/>
  <c r="J151" i="64"/>
  <c r="I151" i="64"/>
  <c r="J150" i="64"/>
  <c r="I150" i="64"/>
  <c r="J149" i="64"/>
  <c r="I149" i="64"/>
  <c r="J148" i="64"/>
  <c r="I148" i="64"/>
  <c r="J147" i="64"/>
  <c r="I147" i="64"/>
  <c r="J146" i="64"/>
  <c r="I146" i="64"/>
  <c r="J145" i="64"/>
  <c r="I145" i="64"/>
  <c r="J144" i="64"/>
  <c r="I144" i="64"/>
  <c r="J143" i="64"/>
  <c r="I143" i="64"/>
  <c r="J142" i="64"/>
  <c r="I142" i="64"/>
  <c r="J141" i="64"/>
  <c r="I141" i="64"/>
  <c r="J140" i="64"/>
  <c r="I140" i="64"/>
  <c r="J139" i="64"/>
  <c r="I139" i="64"/>
  <c r="J138" i="64"/>
  <c r="I138" i="64"/>
  <c r="J137" i="64"/>
  <c r="I137" i="64"/>
  <c r="J136" i="64"/>
  <c r="I136" i="64"/>
  <c r="J135" i="64"/>
  <c r="I135" i="64"/>
  <c r="J134" i="64"/>
  <c r="I134" i="64"/>
  <c r="J133" i="64"/>
  <c r="I133" i="64"/>
  <c r="J132" i="64"/>
  <c r="I132" i="64"/>
  <c r="J131" i="64"/>
  <c r="I131" i="64"/>
  <c r="J130" i="64"/>
  <c r="I130" i="64"/>
  <c r="J129" i="64"/>
  <c r="I129" i="64"/>
  <c r="J128" i="64"/>
  <c r="I128" i="64"/>
  <c r="J127" i="64"/>
  <c r="I127" i="64"/>
  <c r="J126" i="64"/>
  <c r="I126" i="64"/>
  <c r="J125" i="64"/>
  <c r="I125" i="64"/>
  <c r="J124" i="64"/>
  <c r="I124" i="64"/>
  <c r="J123" i="64"/>
  <c r="I123" i="64"/>
  <c r="J122" i="64"/>
  <c r="I122" i="64"/>
  <c r="J121" i="64"/>
  <c r="I121" i="64"/>
  <c r="J120" i="64"/>
  <c r="I120" i="64"/>
  <c r="J119" i="64"/>
  <c r="I119" i="64"/>
  <c r="J118" i="64"/>
  <c r="I118" i="64"/>
  <c r="J117" i="64"/>
  <c r="I117" i="64"/>
  <c r="J116" i="64"/>
  <c r="I116" i="64"/>
  <c r="J115" i="64"/>
  <c r="I115" i="64"/>
  <c r="J114" i="64"/>
  <c r="I114" i="64"/>
  <c r="J113" i="64"/>
  <c r="I113" i="64"/>
  <c r="J112" i="64"/>
  <c r="I112" i="64"/>
  <c r="J111" i="64"/>
  <c r="I111" i="64"/>
  <c r="J110" i="64"/>
  <c r="I110" i="64"/>
  <c r="J109" i="64"/>
  <c r="I109" i="64"/>
  <c r="J108" i="64"/>
  <c r="I108" i="64"/>
  <c r="J107" i="64"/>
  <c r="I107" i="64"/>
  <c r="J106" i="64"/>
  <c r="I106" i="64"/>
  <c r="J105" i="64"/>
  <c r="I105" i="64"/>
  <c r="J104" i="64"/>
  <c r="I104" i="64"/>
  <c r="J103" i="64"/>
  <c r="I103" i="64"/>
  <c r="J102" i="64"/>
  <c r="I102" i="64"/>
  <c r="J101" i="64"/>
  <c r="I101" i="64"/>
  <c r="J100" i="64"/>
  <c r="I100" i="64"/>
  <c r="J99" i="64"/>
  <c r="I99" i="64"/>
  <c r="J98" i="64"/>
  <c r="I98" i="64"/>
  <c r="J97" i="64"/>
  <c r="I97" i="64"/>
  <c r="J96" i="64"/>
  <c r="I96" i="64"/>
  <c r="J95" i="64"/>
  <c r="I95" i="64"/>
  <c r="J94" i="64"/>
  <c r="I94" i="64"/>
  <c r="J93" i="64"/>
  <c r="I93" i="64"/>
  <c r="J92" i="64"/>
  <c r="I92" i="64"/>
  <c r="J91" i="64"/>
  <c r="I91" i="64"/>
  <c r="J90" i="64"/>
  <c r="I90" i="64"/>
  <c r="J89" i="64"/>
  <c r="I89" i="64"/>
  <c r="J88" i="64"/>
  <c r="I88" i="64"/>
  <c r="J87" i="64"/>
  <c r="I87" i="64"/>
  <c r="J86" i="64"/>
  <c r="I86" i="64"/>
  <c r="J85" i="64"/>
  <c r="I85" i="64"/>
  <c r="J84" i="64"/>
  <c r="I84" i="64"/>
  <c r="J83" i="64"/>
  <c r="I83" i="64"/>
  <c r="J82" i="64"/>
  <c r="I82" i="64"/>
  <c r="J81" i="64"/>
  <c r="I81" i="64"/>
  <c r="J80" i="64"/>
  <c r="I80" i="64"/>
  <c r="J79" i="64"/>
  <c r="I79" i="64"/>
  <c r="J78" i="64"/>
  <c r="I78" i="64"/>
  <c r="J77" i="64"/>
  <c r="I77" i="64"/>
  <c r="J76" i="64"/>
  <c r="I76" i="64"/>
  <c r="J75" i="64"/>
  <c r="I75" i="64"/>
  <c r="J74" i="64"/>
  <c r="I74" i="64"/>
  <c r="J73" i="64"/>
  <c r="I73" i="64"/>
  <c r="J72" i="64"/>
  <c r="I72" i="64"/>
  <c r="J71" i="64"/>
  <c r="I71" i="64"/>
  <c r="J70" i="64"/>
  <c r="I70" i="64"/>
  <c r="J69" i="64"/>
  <c r="I69" i="64"/>
  <c r="J68" i="64"/>
  <c r="I68" i="64"/>
  <c r="J67" i="64"/>
  <c r="I67" i="64"/>
  <c r="J66" i="64"/>
  <c r="I66" i="64"/>
  <c r="J65" i="64"/>
  <c r="I65" i="64"/>
  <c r="J64" i="64"/>
  <c r="I64" i="64"/>
  <c r="J63" i="64"/>
  <c r="I63" i="64"/>
  <c r="J62" i="64"/>
  <c r="I62" i="64"/>
  <c r="J61" i="64"/>
  <c r="I61" i="64"/>
  <c r="J60" i="64"/>
  <c r="I60" i="64"/>
  <c r="J59" i="64"/>
  <c r="I59" i="64"/>
  <c r="J58" i="64"/>
  <c r="I58" i="64"/>
  <c r="J57" i="64"/>
  <c r="I57" i="64"/>
  <c r="J56" i="64"/>
  <c r="I56" i="64"/>
  <c r="J55" i="64"/>
  <c r="I55" i="64"/>
  <c r="J54" i="64"/>
  <c r="I54" i="64"/>
  <c r="J53" i="64"/>
  <c r="I53" i="64"/>
  <c r="J52" i="64"/>
  <c r="I52" i="64"/>
  <c r="J51" i="64"/>
  <c r="I51" i="64"/>
  <c r="J50" i="64"/>
  <c r="I50" i="64"/>
  <c r="G50" i="64"/>
  <c r="G51" i="64" s="1"/>
  <c r="G52" i="64" s="1"/>
  <c r="H52" i="64" s="1"/>
  <c r="J49" i="64"/>
  <c r="I49" i="64"/>
  <c r="G49" i="64"/>
  <c r="H49" i="64" s="1"/>
  <c r="J48" i="64"/>
  <c r="I48" i="64"/>
  <c r="J47" i="64"/>
  <c r="I47" i="64"/>
  <c r="G47" i="64"/>
  <c r="H47" i="64" s="1"/>
  <c r="J46" i="64"/>
  <c r="I46" i="64"/>
  <c r="J45" i="64"/>
  <c r="I45" i="64"/>
  <c r="G45" i="64"/>
  <c r="G46" i="64" s="1"/>
  <c r="H46" i="64" s="1"/>
  <c r="J44" i="64"/>
  <c r="I44" i="64"/>
  <c r="J43" i="64"/>
  <c r="I43" i="64"/>
  <c r="G43" i="64"/>
  <c r="G44" i="64" s="1"/>
  <c r="H44" i="64" s="1"/>
  <c r="J42" i="64"/>
  <c r="I42" i="64"/>
  <c r="J41" i="64"/>
  <c r="I41" i="64"/>
  <c r="G41" i="64"/>
  <c r="H41" i="64" s="1"/>
  <c r="J40" i="64"/>
  <c r="I40" i="64"/>
  <c r="G40" i="64"/>
  <c r="H40" i="64" s="1"/>
  <c r="J39" i="64"/>
  <c r="I39" i="64"/>
  <c r="G39" i="64"/>
  <c r="H39" i="64" s="1"/>
  <c r="J38" i="64"/>
  <c r="I38" i="64"/>
  <c r="G38" i="64"/>
  <c r="H38" i="64" s="1"/>
  <c r="J37" i="64"/>
  <c r="I37" i="64"/>
  <c r="J36" i="64"/>
  <c r="I36" i="64"/>
  <c r="G36" i="64"/>
  <c r="H36" i="64" s="1"/>
  <c r="J35" i="64"/>
  <c r="I35" i="64"/>
  <c r="G35" i="64"/>
  <c r="H35" i="64" s="1"/>
  <c r="J34" i="64"/>
  <c r="I34" i="64"/>
  <c r="J33" i="64"/>
  <c r="I33" i="64"/>
  <c r="G33" i="64"/>
  <c r="G34" i="64" s="1"/>
  <c r="H34" i="64" s="1"/>
  <c r="J32" i="64"/>
  <c r="I32" i="64"/>
  <c r="J31" i="64"/>
  <c r="I31" i="64"/>
  <c r="J30" i="64"/>
  <c r="I30" i="64"/>
  <c r="J29" i="64"/>
  <c r="I29" i="64"/>
  <c r="G29" i="64"/>
  <c r="G30" i="64" s="1"/>
  <c r="H30" i="64" s="1"/>
  <c r="J28" i="64"/>
  <c r="I28" i="64"/>
  <c r="G28" i="64"/>
  <c r="H28" i="64" s="1"/>
  <c r="J27" i="64"/>
  <c r="I27" i="64"/>
  <c r="J26" i="64"/>
  <c r="I26" i="64"/>
  <c r="G26" i="64"/>
  <c r="G27" i="64" s="1"/>
  <c r="H27" i="64" s="1"/>
  <c r="J25" i="64"/>
  <c r="I25" i="64"/>
  <c r="J24" i="64"/>
  <c r="I24" i="64"/>
  <c r="J23" i="64"/>
  <c r="I23" i="64"/>
  <c r="J22" i="64"/>
  <c r="I22" i="64"/>
  <c r="G22" i="64"/>
  <c r="G23" i="64" s="1"/>
  <c r="J21" i="64"/>
  <c r="I21" i="64"/>
  <c r="G21" i="64"/>
  <c r="H21" i="64" s="1"/>
  <c r="J20" i="64"/>
  <c r="I20" i="64"/>
  <c r="G20" i="64"/>
  <c r="H20" i="64" s="1"/>
  <c r="J19" i="64"/>
  <c r="I19" i="64"/>
  <c r="G19" i="64"/>
  <c r="H19" i="64" s="1"/>
  <c r="J18" i="64"/>
  <c r="I18" i="64"/>
  <c r="G18" i="64"/>
  <c r="H18" i="64" s="1"/>
  <c r="J17" i="64"/>
  <c r="I17" i="64"/>
  <c r="G17" i="64"/>
  <c r="H17" i="64" s="1"/>
  <c r="O16" i="64"/>
  <c r="J16" i="64"/>
  <c r="I16" i="64"/>
  <c r="J15" i="64"/>
  <c r="I15" i="64"/>
  <c r="G15" i="64"/>
  <c r="G16" i="64" s="1"/>
  <c r="H16" i="64" s="1"/>
  <c r="P14" i="64"/>
  <c r="N14" i="64"/>
  <c r="J14" i="64"/>
  <c r="I14" i="64"/>
  <c r="O13" i="64"/>
  <c r="J13" i="64"/>
  <c r="I13" i="64"/>
  <c r="G13" i="64"/>
  <c r="G14" i="64" s="1"/>
  <c r="H14" i="64" s="1"/>
  <c r="O12" i="64"/>
  <c r="J12" i="64"/>
  <c r="I12" i="64"/>
  <c r="O11" i="64"/>
  <c r="J11" i="64"/>
  <c r="I11" i="64"/>
  <c r="G11" i="64"/>
  <c r="H11" i="64" s="1"/>
  <c r="O10" i="64"/>
  <c r="J10" i="64"/>
  <c r="I10" i="64"/>
  <c r="G10" i="64"/>
  <c r="H10" i="64" s="1"/>
  <c r="O9" i="64"/>
  <c r="J9" i="64"/>
  <c r="I9" i="64"/>
  <c r="O8" i="64"/>
  <c r="J8" i="64"/>
  <c r="I8" i="64"/>
  <c r="G8" i="64"/>
  <c r="G9" i="64" s="1"/>
  <c r="H9" i="64" s="1"/>
  <c r="O7" i="64"/>
  <c r="J7" i="64"/>
  <c r="I7" i="64"/>
  <c r="O6" i="64"/>
  <c r="J6" i="64"/>
  <c r="I6" i="64"/>
  <c r="G6" i="64"/>
  <c r="G7" i="64" s="1"/>
  <c r="H7" i="64" s="1"/>
  <c r="O5" i="64"/>
  <c r="J5" i="64"/>
  <c r="I5" i="64"/>
  <c r="O4" i="64"/>
  <c r="J4" i="64"/>
  <c r="I4" i="64"/>
  <c r="G4" i="64"/>
  <c r="G5" i="64" s="1"/>
  <c r="H5" i="64" s="1"/>
  <c r="O3" i="64"/>
  <c r="J3" i="64"/>
  <c r="I3" i="64"/>
  <c r="J2" i="64"/>
  <c r="I2" i="64"/>
  <c r="H2" i="64"/>
  <c r="G2" i="64"/>
  <c r="G3" i="64" s="1"/>
  <c r="H3" i="64" s="1"/>
  <c r="J250" i="63"/>
  <c r="I250" i="63"/>
  <c r="J249" i="63"/>
  <c r="I249" i="63"/>
  <c r="J248" i="63"/>
  <c r="I248" i="63"/>
  <c r="J247" i="63"/>
  <c r="I247" i="63"/>
  <c r="J246" i="63"/>
  <c r="I246" i="63"/>
  <c r="J245" i="63"/>
  <c r="I245" i="63"/>
  <c r="J244" i="63"/>
  <c r="I244" i="63"/>
  <c r="J243" i="63"/>
  <c r="I243" i="63"/>
  <c r="J242" i="63"/>
  <c r="I242" i="63"/>
  <c r="J241" i="63"/>
  <c r="I241" i="63"/>
  <c r="J240" i="63"/>
  <c r="I240" i="63"/>
  <c r="J239" i="63"/>
  <c r="I239" i="63"/>
  <c r="J238" i="63"/>
  <c r="I238" i="63"/>
  <c r="J237" i="63"/>
  <c r="I237" i="63"/>
  <c r="J236" i="63"/>
  <c r="I236" i="63"/>
  <c r="J235" i="63"/>
  <c r="I235" i="63"/>
  <c r="J234" i="63"/>
  <c r="I234" i="63"/>
  <c r="J233" i="63"/>
  <c r="I233" i="63"/>
  <c r="J232" i="63"/>
  <c r="I232" i="63"/>
  <c r="J231" i="63"/>
  <c r="I231" i="63"/>
  <c r="J230" i="63"/>
  <c r="I230" i="63"/>
  <c r="J229" i="63"/>
  <c r="I229" i="63"/>
  <c r="J228" i="63"/>
  <c r="I228" i="63"/>
  <c r="J227" i="63"/>
  <c r="I227" i="63"/>
  <c r="J226" i="63"/>
  <c r="I226" i="63"/>
  <c r="J225" i="63"/>
  <c r="I225" i="63"/>
  <c r="J224" i="63"/>
  <c r="I224" i="63"/>
  <c r="J223" i="63"/>
  <c r="I223" i="63"/>
  <c r="J222" i="63"/>
  <c r="I222" i="63"/>
  <c r="J221" i="63"/>
  <c r="I221" i="63"/>
  <c r="J220" i="63"/>
  <c r="I220" i="63"/>
  <c r="J219" i="63"/>
  <c r="I219" i="63"/>
  <c r="J218" i="63"/>
  <c r="I218" i="63"/>
  <c r="J217" i="63"/>
  <c r="I217" i="63"/>
  <c r="J216" i="63"/>
  <c r="I216" i="63"/>
  <c r="J215" i="63"/>
  <c r="I215" i="63"/>
  <c r="J214" i="63"/>
  <c r="I214" i="63"/>
  <c r="J213" i="63"/>
  <c r="I213" i="63"/>
  <c r="J212" i="63"/>
  <c r="I212" i="63"/>
  <c r="J211" i="63"/>
  <c r="I211" i="63"/>
  <c r="J210" i="63"/>
  <c r="I210" i="63"/>
  <c r="J209" i="63"/>
  <c r="I209" i="63"/>
  <c r="J208" i="63"/>
  <c r="I208" i="63"/>
  <c r="J207" i="63"/>
  <c r="I207" i="63"/>
  <c r="J206" i="63"/>
  <c r="I206" i="63"/>
  <c r="J205" i="63"/>
  <c r="I205" i="63"/>
  <c r="J204" i="63"/>
  <c r="I204" i="63"/>
  <c r="J203" i="63"/>
  <c r="I203" i="63"/>
  <c r="J202" i="63"/>
  <c r="I202" i="63"/>
  <c r="J201" i="63"/>
  <c r="I201" i="63"/>
  <c r="J200" i="63"/>
  <c r="I200" i="63"/>
  <c r="J199" i="63"/>
  <c r="I199" i="63"/>
  <c r="J198" i="63"/>
  <c r="I198" i="63"/>
  <c r="J197" i="63"/>
  <c r="I197" i="63"/>
  <c r="J196" i="63"/>
  <c r="I196" i="63"/>
  <c r="J195" i="63"/>
  <c r="I195" i="63"/>
  <c r="J194" i="63"/>
  <c r="I194" i="63"/>
  <c r="J193" i="63"/>
  <c r="I193" i="63"/>
  <c r="J192" i="63"/>
  <c r="I192" i="63"/>
  <c r="J191" i="63"/>
  <c r="I191" i="63"/>
  <c r="J190" i="63"/>
  <c r="I190" i="63"/>
  <c r="J189" i="63"/>
  <c r="I189" i="63"/>
  <c r="J188" i="63"/>
  <c r="I188" i="63"/>
  <c r="J187" i="63"/>
  <c r="I187" i="63"/>
  <c r="J186" i="63"/>
  <c r="I186" i="63"/>
  <c r="J185" i="63"/>
  <c r="I185" i="63"/>
  <c r="J184" i="63"/>
  <c r="I184" i="63"/>
  <c r="J183" i="63"/>
  <c r="I183" i="63"/>
  <c r="J182" i="63"/>
  <c r="I182" i="63"/>
  <c r="J181" i="63"/>
  <c r="I181" i="63"/>
  <c r="J180" i="63"/>
  <c r="I180" i="63"/>
  <c r="J179" i="63"/>
  <c r="I179" i="63"/>
  <c r="J178" i="63"/>
  <c r="I178" i="63"/>
  <c r="J177" i="63"/>
  <c r="I177" i="63"/>
  <c r="J176" i="63"/>
  <c r="I176" i="63"/>
  <c r="J175" i="63"/>
  <c r="I175" i="63"/>
  <c r="J174" i="63"/>
  <c r="I174" i="63"/>
  <c r="J173" i="63"/>
  <c r="I173" i="63"/>
  <c r="J172" i="63"/>
  <c r="I172" i="63"/>
  <c r="J171" i="63"/>
  <c r="I171" i="63"/>
  <c r="J170" i="63"/>
  <c r="I170" i="63"/>
  <c r="J169" i="63"/>
  <c r="I169" i="63"/>
  <c r="J168" i="63"/>
  <c r="I168" i="63"/>
  <c r="J167" i="63"/>
  <c r="I167" i="63"/>
  <c r="J166" i="63"/>
  <c r="I166" i="63"/>
  <c r="J165" i="63"/>
  <c r="I165" i="63"/>
  <c r="J164" i="63"/>
  <c r="I164" i="63"/>
  <c r="J163" i="63"/>
  <c r="I163" i="63"/>
  <c r="J162" i="63"/>
  <c r="I162" i="63"/>
  <c r="J161" i="63"/>
  <c r="I161" i="63"/>
  <c r="J160" i="63"/>
  <c r="I160" i="63"/>
  <c r="J159" i="63"/>
  <c r="I159" i="63"/>
  <c r="J158" i="63"/>
  <c r="I158" i="63"/>
  <c r="J157" i="63"/>
  <c r="I157" i="63"/>
  <c r="J156" i="63"/>
  <c r="I156" i="63"/>
  <c r="J155" i="63"/>
  <c r="I155" i="63"/>
  <c r="J154" i="63"/>
  <c r="I154" i="63"/>
  <c r="J153" i="63"/>
  <c r="I153" i="63"/>
  <c r="J152" i="63"/>
  <c r="I152" i="63"/>
  <c r="J151" i="63"/>
  <c r="I151" i="63"/>
  <c r="J150" i="63"/>
  <c r="I150" i="63"/>
  <c r="J149" i="63"/>
  <c r="I149" i="63"/>
  <c r="J148" i="63"/>
  <c r="I148" i="63"/>
  <c r="J147" i="63"/>
  <c r="I147" i="63"/>
  <c r="J146" i="63"/>
  <c r="I146" i="63"/>
  <c r="J145" i="63"/>
  <c r="I145" i="63"/>
  <c r="J144" i="63"/>
  <c r="I144" i="63"/>
  <c r="J143" i="63"/>
  <c r="I143" i="63"/>
  <c r="J142" i="63"/>
  <c r="I142" i="63"/>
  <c r="J141" i="63"/>
  <c r="I141" i="63"/>
  <c r="J140" i="63"/>
  <c r="I140" i="63"/>
  <c r="J139" i="63"/>
  <c r="I139" i="63"/>
  <c r="J138" i="63"/>
  <c r="I138" i="63"/>
  <c r="J137" i="63"/>
  <c r="I137" i="63"/>
  <c r="J136" i="63"/>
  <c r="I136" i="63"/>
  <c r="J135" i="63"/>
  <c r="I135" i="63"/>
  <c r="J134" i="63"/>
  <c r="I134" i="63"/>
  <c r="J133" i="63"/>
  <c r="I133" i="63"/>
  <c r="J132" i="63"/>
  <c r="I132" i="63"/>
  <c r="J131" i="63"/>
  <c r="I131" i="63"/>
  <c r="J130" i="63"/>
  <c r="I130" i="63"/>
  <c r="J129" i="63"/>
  <c r="I129" i="63"/>
  <c r="J128" i="63"/>
  <c r="I128" i="63"/>
  <c r="J127" i="63"/>
  <c r="I127" i="63"/>
  <c r="J126" i="63"/>
  <c r="I126" i="63"/>
  <c r="J125" i="63"/>
  <c r="I125" i="63"/>
  <c r="J124" i="63"/>
  <c r="I124" i="63"/>
  <c r="J123" i="63"/>
  <c r="I123" i="63"/>
  <c r="J122" i="63"/>
  <c r="I122" i="63"/>
  <c r="J121" i="63"/>
  <c r="I121" i="63"/>
  <c r="J120" i="63"/>
  <c r="I120" i="63"/>
  <c r="J119" i="63"/>
  <c r="I119" i="63"/>
  <c r="J118" i="63"/>
  <c r="I118" i="63"/>
  <c r="J117" i="63"/>
  <c r="I117" i="63"/>
  <c r="J116" i="63"/>
  <c r="I116" i="63"/>
  <c r="J115" i="63"/>
  <c r="I115" i="63"/>
  <c r="J114" i="63"/>
  <c r="I114" i="63"/>
  <c r="J113" i="63"/>
  <c r="I113" i="63"/>
  <c r="J112" i="63"/>
  <c r="I112" i="63"/>
  <c r="J111" i="63"/>
  <c r="I111" i="63"/>
  <c r="J110" i="63"/>
  <c r="I110" i="63"/>
  <c r="J109" i="63"/>
  <c r="I109" i="63"/>
  <c r="J108" i="63"/>
  <c r="I108" i="63"/>
  <c r="J107" i="63"/>
  <c r="I107" i="63"/>
  <c r="J106" i="63"/>
  <c r="I106" i="63"/>
  <c r="J105" i="63"/>
  <c r="I105" i="63"/>
  <c r="J104" i="63"/>
  <c r="I104" i="63"/>
  <c r="J103" i="63"/>
  <c r="I103" i="63"/>
  <c r="J102" i="63"/>
  <c r="I102" i="63"/>
  <c r="J101" i="63"/>
  <c r="I101" i="63"/>
  <c r="J100" i="63"/>
  <c r="I100" i="63"/>
  <c r="J99" i="63"/>
  <c r="I99" i="63"/>
  <c r="J98" i="63"/>
  <c r="I98" i="63"/>
  <c r="J97" i="63"/>
  <c r="I97" i="63"/>
  <c r="J96" i="63"/>
  <c r="I96" i="63"/>
  <c r="J95" i="63"/>
  <c r="I95" i="63"/>
  <c r="J94" i="63"/>
  <c r="I94" i="63"/>
  <c r="J93" i="63"/>
  <c r="I93" i="63"/>
  <c r="J92" i="63"/>
  <c r="I92" i="63"/>
  <c r="J91" i="63"/>
  <c r="I91" i="63"/>
  <c r="J90" i="63"/>
  <c r="I90" i="63"/>
  <c r="J89" i="63"/>
  <c r="I89" i="63"/>
  <c r="J88" i="63"/>
  <c r="I88" i="63"/>
  <c r="J87" i="63"/>
  <c r="I87" i="63"/>
  <c r="J86" i="63"/>
  <c r="I86" i="63"/>
  <c r="J85" i="63"/>
  <c r="I85" i="63"/>
  <c r="J84" i="63"/>
  <c r="I84" i="63"/>
  <c r="J83" i="63"/>
  <c r="I83" i="63"/>
  <c r="J82" i="63"/>
  <c r="I82" i="63"/>
  <c r="J81" i="63"/>
  <c r="I81" i="63"/>
  <c r="J80" i="63"/>
  <c r="I80" i="63"/>
  <c r="J79" i="63"/>
  <c r="I79" i="63"/>
  <c r="J78" i="63"/>
  <c r="I78" i="63"/>
  <c r="J77" i="63"/>
  <c r="I77" i="63"/>
  <c r="J76" i="63"/>
  <c r="I76" i="63"/>
  <c r="J75" i="63"/>
  <c r="I75" i="63"/>
  <c r="J74" i="63"/>
  <c r="I74" i="63"/>
  <c r="J73" i="63"/>
  <c r="I73" i="63"/>
  <c r="J72" i="63"/>
  <c r="I72" i="63"/>
  <c r="J71" i="63"/>
  <c r="I71" i="63"/>
  <c r="J70" i="63"/>
  <c r="I70" i="63"/>
  <c r="J69" i="63"/>
  <c r="I69" i="63"/>
  <c r="J68" i="63"/>
  <c r="I68" i="63"/>
  <c r="J67" i="63"/>
  <c r="I67" i="63"/>
  <c r="J66" i="63"/>
  <c r="I66" i="63"/>
  <c r="J65" i="63"/>
  <c r="I65" i="63"/>
  <c r="J64" i="63"/>
  <c r="I64" i="63"/>
  <c r="J63" i="63"/>
  <c r="I63" i="63"/>
  <c r="J62" i="63"/>
  <c r="I62" i="63"/>
  <c r="J61" i="63"/>
  <c r="I61" i="63"/>
  <c r="J60" i="63"/>
  <c r="I60" i="63"/>
  <c r="J59" i="63"/>
  <c r="I59" i="63"/>
  <c r="J58" i="63"/>
  <c r="I58" i="63"/>
  <c r="J57" i="63"/>
  <c r="I57" i="63"/>
  <c r="J56" i="63"/>
  <c r="I56" i="63"/>
  <c r="J55" i="63"/>
  <c r="I55" i="63"/>
  <c r="J54" i="63"/>
  <c r="I54" i="63"/>
  <c r="J53" i="63"/>
  <c r="I53" i="63"/>
  <c r="J52" i="63"/>
  <c r="I52" i="63"/>
  <c r="J51" i="63"/>
  <c r="I51" i="63"/>
  <c r="J50" i="63"/>
  <c r="I50" i="63"/>
  <c r="G50" i="63"/>
  <c r="J49" i="63"/>
  <c r="I49" i="63"/>
  <c r="G49" i="63"/>
  <c r="H49" i="63" s="1"/>
  <c r="J48" i="63"/>
  <c r="I48" i="63"/>
  <c r="J47" i="63"/>
  <c r="I47" i="63"/>
  <c r="G47" i="63"/>
  <c r="H47" i="63" s="1"/>
  <c r="J46" i="63"/>
  <c r="I46" i="63"/>
  <c r="J45" i="63"/>
  <c r="I45" i="63"/>
  <c r="G45" i="63"/>
  <c r="G46" i="63" s="1"/>
  <c r="H46" i="63" s="1"/>
  <c r="J44" i="63"/>
  <c r="I44" i="63"/>
  <c r="J43" i="63"/>
  <c r="I43" i="63"/>
  <c r="G43" i="63"/>
  <c r="H43" i="63" s="1"/>
  <c r="J42" i="63"/>
  <c r="I42" i="63"/>
  <c r="J41" i="63"/>
  <c r="I41" i="63"/>
  <c r="G41" i="63"/>
  <c r="H41" i="63" s="1"/>
  <c r="J40" i="63"/>
  <c r="I40" i="63"/>
  <c r="J39" i="63"/>
  <c r="I39" i="63"/>
  <c r="G39" i="63"/>
  <c r="G40" i="63" s="1"/>
  <c r="H40" i="63" s="1"/>
  <c r="J38" i="63"/>
  <c r="I38" i="63"/>
  <c r="G38" i="63"/>
  <c r="H38" i="63" s="1"/>
  <c r="J37" i="63"/>
  <c r="I37" i="63"/>
  <c r="J36" i="63"/>
  <c r="I36" i="63"/>
  <c r="G36" i="63"/>
  <c r="H36" i="63" s="1"/>
  <c r="J35" i="63"/>
  <c r="I35" i="63"/>
  <c r="G35" i="63"/>
  <c r="H35" i="63" s="1"/>
  <c r="J34" i="63"/>
  <c r="I34" i="63"/>
  <c r="J33" i="63"/>
  <c r="I33" i="63"/>
  <c r="G33" i="63"/>
  <c r="H33" i="63" s="1"/>
  <c r="J32" i="63"/>
  <c r="I32" i="63"/>
  <c r="J31" i="63"/>
  <c r="I31" i="63"/>
  <c r="J30" i="63"/>
  <c r="I30" i="63"/>
  <c r="J29" i="63"/>
  <c r="I29" i="63"/>
  <c r="G29" i="63"/>
  <c r="J28" i="63"/>
  <c r="I28" i="63"/>
  <c r="G28" i="63"/>
  <c r="H28" i="63" s="1"/>
  <c r="J27" i="63"/>
  <c r="I27" i="63"/>
  <c r="J26" i="63"/>
  <c r="I26" i="63"/>
  <c r="G26" i="63"/>
  <c r="H26" i="63" s="1"/>
  <c r="J25" i="63"/>
  <c r="I25" i="63"/>
  <c r="J24" i="63"/>
  <c r="I24" i="63"/>
  <c r="J23" i="63"/>
  <c r="I23" i="63"/>
  <c r="J22" i="63"/>
  <c r="I22" i="63"/>
  <c r="G22" i="63"/>
  <c r="G23" i="63" s="1"/>
  <c r="J21" i="63"/>
  <c r="I21" i="63"/>
  <c r="G21" i="63"/>
  <c r="H21" i="63" s="1"/>
  <c r="J20" i="63"/>
  <c r="I20" i="63"/>
  <c r="G20" i="63"/>
  <c r="H20" i="63" s="1"/>
  <c r="J19" i="63"/>
  <c r="I19" i="63"/>
  <c r="G19" i="63"/>
  <c r="H19" i="63" s="1"/>
  <c r="J18" i="63"/>
  <c r="I18" i="63"/>
  <c r="G18" i="63"/>
  <c r="H18" i="63" s="1"/>
  <c r="J17" i="63"/>
  <c r="I17" i="63"/>
  <c r="G17" i="63"/>
  <c r="H17" i="63" s="1"/>
  <c r="O16" i="63"/>
  <c r="J16" i="63"/>
  <c r="I16" i="63"/>
  <c r="J15" i="63"/>
  <c r="I15" i="63"/>
  <c r="G15" i="63"/>
  <c r="H15" i="63" s="1"/>
  <c r="P14" i="63"/>
  <c r="N14" i="63"/>
  <c r="J14" i="63"/>
  <c r="I14" i="63"/>
  <c r="O13" i="63"/>
  <c r="J13" i="63"/>
  <c r="I13" i="63"/>
  <c r="G13" i="63"/>
  <c r="G14" i="63" s="1"/>
  <c r="H14" i="63" s="1"/>
  <c r="O12" i="63"/>
  <c r="J12" i="63"/>
  <c r="I12" i="63"/>
  <c r="O11" i="63"/>
  <c r="J11" i="63"/>
  <c r="I11" i="63"/>
  <c r="G11" i="63"/>
  <c r="G12" i="63" s="1"/>
  <c r="H12" i="63" s="1"/>
  <c r="O10" i="63"/>
  <c r="J10" i="63"/>
  <c r="I10" i="63"/>
  <c r="G10" i="63"/>
  <c r="H10" i="63" s="1"/>
  <c r="O9" i="63"/>
  <c r="J9" i="63"/>
  <c r="I9" i="63"/>
  <c r="O8" i="63"/>
  <c r="J8" i="63"/>
  <c r="I8" i="63"/>
  <c r="G8" i="63"/>
  <c r="G9" i="63" s="1"/>
  <c r="H9" i="63" s="1"/>
  <c r="O7" i="63"/>
  <c r="J7" i="63"/>
  <c r="I7" i="63"/>
  <c r="O6" i="63"/>
  <c r="J6" i="63"/>
  <c r="I6" i="63"/>
  <c r="G6" i="63"/>
  <c r="G7" i="63" s="1"/>
  <c r="H7" i="63" s="1"/>
  <c r="O5" i="63"/>
  <c r="J5" i="63"/>
  <c r="I5" i="63"/>
  <c r="O4" i="63"/>
  <c r="J4" i="63"/>
  <c r="I4" i="63"/>
  <c r="G4" i="63"/>
  <c r="G5" i="63" s="1"/>
  <c r="H5" i="63" s="1"/>
  <c r="O3" i="63"/>
  <c r="J3" i="63"/>
  <c r="I3" i="63"/>
  <c r="J2" i="63"/>
  <c r="I2" i="63"/>
  <c r="H2" i="63"/>
  <c r="G2" i="63"/>
  <c r="G3" i="63" s="1"/>
  <c r="H3" i="63" s="1"/>
  <c r="J250" i="62"/>
  <c r="I250" i="62"/>
  <c r="J249" i="62"/>
  <c r="I249" i="62"/>
  <c r="J248" i="62"/>
  <c r="I248" i="62"/>
  <c r="J247" i="62"/>
  <c r="I247" i="62"/>
  <c r="J246" i="62"/>
  <c r="I246" i="62"/>
  <c r="J245" i="62"/>
  <c r="I245" i="62"/>
  <c r="J244" i="62"/>
  <c r="I244" i="62"/>
  <c r="J243" i="62"/>
  <c r="I243" i="62"/>
  <c r="J242" i="62"/>
  <c r="I242" i="62"/>
  <c r="J241" i="62"/>
  <c r="I241" i="62"/>
  <c r="J240" i="62"/>
  <c r="I240" i="62"/>
  <c r="J239" i="62"/>
  <c r="I239" i="62"/>
  <c r="J238" i="62"/>
  <c r="I238" i="62"/>
  <c r="J237" i="62"/>
  <c r="I237" i="62"/>
  <c r="J236" i="62"/>
  <c r="I236" i="62"/>
  <c r="J235" i="62"/>
  <c r="I235" i="62"/>
  <c r="J234" i="62"/>
  <c r="I234" i="62"/>
  <c r="J233" i="62"/>
  <c r="I233" i="62"/>
  <c r="J232" i="62"/>
  <c r="I232" i="62"/>
  <c r="J231" i="62"/>
  <c r="I231" i="62"/>
  <c r="J230" i="62"/>
  <c r="I230" i="62"/>
  <c r="J229" i="62"/>
  <c r="I229" i="62"/>
  <c r="J228" i="62"/>
  <c r="I228" i="62"/>
  <c r="J227" i="62"/>
  <c r="I227" i="62"/>
  <c r="J226" i="62"/>
  <c r="I226" i="62"/>
  <c r="J225" i="62"/>
  <c r="I225" i="62"/>
  <c r="J224" i="62"/>
  <c r="I224" i="62"/>
  <c r="J223" i="62"/>
  <c r="I223" i="62"/>
  <c r="J222" i="62"/>
  <c r="I222" i="62"/>
  <c r="J221" i="62"/>
  <c r="I221" i="62"/>
  <c r="J220" i="62"/>
  <c r="I220" i="62"/>
  <c r="J219" i="62"/>
  <c r="I219" i="62"/>
  <c r="J218" i="62"/>
  <c r="I218" i="62"/>
  <c r="J217" i="62"/>
  <c r="I217" i="62"/>
  <c r="J216" i="62"/>
  <c r="I216" i="62"/>
  <c r="J215" i="62"/>
  <c r="I215" i="62"/>
  <c r="J214" i="62"/>
  <c r="I214" i="62"/>
  <c r="J213" i="62"/>
  <c r="I213" i="62"/>
  <c r="J212" i="62"/>
  <c r="I212" i="62"/>
  <c r="J211" i="62"/>
  <c r="I211" i="62"/>
  <c r="J210" i="62"/>
  <c r="I210" i="62"/>
  <c r="J209" i="62"/>
  <c r="I209" i="62"/>
  <c r="J208" i="62"/>
  <c r="I208" i="62"/>
  <c r="J207" i="62"/>
  <c r="I207" i="62"/>
  <c r="J206" i="62"/>
  <c r="I206" i="62"/>
  <c r="J205" i="62"/>
  <c r="I205" i="62"/>
  <c r="J204" i="62"/>
  <c r="I204" i="62"/>
  <c r="J203" i="62"/>
  <c r="I203" i="62"/>
  <c r="J202" i="62"/>
  <c r="I202" i="62"/>
  <c r="J201" i="62"/>
  <c r="I201" i="62"/>
  <c r="J200" i="62"/>
  <c r="I200" i="62"/>
  <c r="J199" i="62"/>
  <c r="I199" i="62"/>
  <c r="J198" i="62"/>
  <c r="I198" i="62"/>
  <c r="J197" i="62"/>
  <c r="I197" i="62"/>
  <c r="J196" i="62"/>
  <c r="I196" i="62"/>
  <c r="J195" i="62"/>
  <c r="I195" i="62"/>
  <c r="J194" i="62"/>
  <c r="I194" i="62"/>
  <c r="J193" i="62"/>
  <c r="I193" i="62"/>
  <c r="J192" i="62"/>
  <c r="I192" i="62"/>
  <c r="J191" i="62"/>
  <c r="I191" i="62"/>
  <c r="J190" i="62"/>
  <c r="I190" i="62"/>
  <c r="J189" i="62"/>
  <c r="I189" i="62"/>
  <c r="J188" i="62"/>
  <c r="I188" i="62"/>
  <c r="J187" i="62"/>
  <c r="I187" i="62"/>
  <c r="J186" i="62"/>
  <c r="I186" i="62"/>
  <c r="J185" i="62"/>
  <c r="I185" i="62"/>
  <c r="J184" i="62"/>
  <c r="I184" i="62"/>
  <c r="J183" i="62"/>
  <c r="I183" i="62"/>
  <c r="J182" i="62"/>
  <c r="I182" i="62"/>
  <c r="J181" i="62"/>
  <c r="I181" i="62"/>
  <c r="J180" i="62"/>
  <c r="I180" i="62"/>
  <c r="J179" i="62"/>
  <c r="I179" i="62"/>
  <c r="J178" i="62"/>
  <c r="I178" i="62"/>
  <c r="J177" i="62"/>
  <c r="I177" i="62"/>
  <c r="J176" i="62"/>
  <c r="I176" i="62"/>
  <c r="J175" i="62"/>
  <c r="I175" i="62"/>
  <c r="J174" i="62"/>
  <c r="I174" i="62"/>
  <c r="J173" i="62"/>
  <c r="I173" i="62"/>
  <c r="J172" i="62"/>
  <c r="I172" i="62"/>
  <c r="J171" i="62"/>
  <c r="I171" i="62"/>
  <c r="J170" i="62"/>
  <c r="I170" i="62"/>
  <c r="J169" i="62"/>
  <c r="I169" i="62"/>
  <c r="J168" i="62"/>
  <c r="I168" i="62"/>
  <c r="J167" i="62"/>
  <c r="I167" i="62"/>
  <c r="J166" i="62"/>
  <c r="I166" i="62"/>
  <c r="J165" i="62"/>
  <c r="I165" i="62"/>
  <c r="J164" i="62"/>
  <c r="I164" i="62"/>
  <c r="J163" i="62"/>
  <c r="I163" i="62"/>
  <c r="J162" i="62"/>
  <c r="I162" i="62"/>
  <c r="J161" i="62"/>
  <c r="I161" i="62"/>
  <c r="J160" i="62"/>
  <c r="I160" i="62"/>
  <c r="J159" i="62"/>
  <c r="I159" i="62"/>
  <c r="J158" i="62"/>
  <c r="I158" i="62"/>
  <c r="J157" i="62"/>
  <c r="I157" i="62"/>
  <c r="J156" i="62"/>
  <c r="I156" i="62"/>
  <c r="J155" i="62"/>
  <c r="I155" i="62"/>
  <c r="J154" i="62"/>
  <c r="I154" i="62"/>
  <c r="J153" i="62"/>
  <c r="I153" i="62"/>
  <c r="J152" i="62"/>
  <c r="I152" i="62"/>
  <c r="J151" i="62"/>
  <c r="I151" i="62"/>
  <c r="J150" i="62"/>
  <c r="I150" i="62"/>
  <c r="J149" i="62"/>
  <c r="I149" i="62"/>
  <c r="J148" i="62"/>
  <c r="I148" i="62"/>
  <c r="J147" i="62"/>
  <c r="I147" i="62"/>
  <c r="J146" i="62"/>
  <c r="I146" i="62"/>
  <c r="J145" i="62"/>
  <c r="I145" i="62"/>
  <c r="J144" i="62"/>
  <c r="I144" i="62"/>
  <c r="J143" i="62"/>
  <c r="I143" i="62"/>
  <c r="J142" i="62"/>
  <c r="I142" i="62"/>
  <c r="J141" i="62"/>
  <c r="I141" i="62"/>
  <c r="J140" i="62"/>
  <c r="I140" i="62"/>
  <c r="J139" i="62"/>
  <c r="I139" i="62"/>
  <c r="J138" i="62"/>
  <c r="I138" i="62"/>
  <c r="J137" i="62"/>
  <c r="I137" i="62"/>
  <c r="J136" i="62"/>
  <c r="I136" i="62"/>
  <c r="J135" i="62"/>
  <c r="I135" i="62"/>
  <c r="J134" i="62"/>
  <c r="I134" i="62"/>
  <c r="J133" i="62"/>
  <c r="I133" i="62"/>
  <c r="J132" i="62"/>
  <c r="I132" i="62"/>
  <c r="J131" i="62"/>
  <c r="I131" i="62"/>
  <c r="J130" i="62"/>
  <c r="I130" i="62"/>
  <c r="J129" i="62"/>
  <c r="I129" i="62"/>
  <c r="J128" i="62"/>
  <c r="I128" i="62"/>
  <c r="J127" i="62"/>
  <c r="I127" i="62"/>
  <c r="J126" i="62"/>
  <c r="I126" i="62"/>
  <c r="J125" i="62"/>
  <c r="I125" i="62"/>
  <c r="J124" i="62"/>
  <c r="I124" i="62"/>
  <c r="J123" i="62"/>
  <c r="I123" i="62"/>
  <c r="J122" i="62"/>
  <c r="I122" i="62"/>
  <c r="J121" i="62"/>
  <c r="I121" i="62"/>
  <c r="J120" i="62"/>
  <c r="I120" i="62"/>
  <c r="J119" i="62"/>
  <c r="I119" i="62"/>
  <c r="J118" i="62"/>
  <c r="I118" i="62"/>
  <c r="J117" i="62"/>
  <c r="I117" i="62"/>
  <c r="J116" i="62"/>
  <c r="I116" i="62"/>
  <c r="J115" i="62"/>
  <c r="I115" i="62"/>
  <c r="J114" i="62"/>
  <c r="I114" i="62"/>
  <c r="J113" i="62"/>
  <c r="I113" i="62"/>
  <c r="J112" i="62"/>
  <c r="I112" i="62"/>
  <c r="J111" i="62"/>
  <c r="I111" i="62"/>
  <c r="J110" i="62"/>
  <c r="I110" i="62"/>
  <c r="J109" i="62"/>
  <c r="I109" i="62"/>
  <c r="J108" i="62"/>
  <c r="I108" i="62"/>
  <c r="J107" i="62"/>
  <c r="I107" i="62"/>
  <c r="J106" i="62"/>
  <c r="I106" i="62"/>
  <c r="J105" i="62"/>
  <c r="I105" i="62"/>
  <c r="J104" i="62"/>
  <c r="I104" i="62"/>
  <c r="J103" i="62"/>
  <c r="I103" i="62"/>
  <c r="J102" i="62"/>
  <c r="I102" i="62"/>
  <c r="J101" i="62"/>
  <c r="I101" i="62"/>
  <c r="J100" i="62"/>
  <c r="I100" i="62"/>
  <c r="J99" i="62"/>
  <c r="I99" i="62"/>
  <c r="J98" i="62"/>
  <c r="I98" i="62"/>
  <c r="J97" i="62"/>
  <c r="I97" i="62"/>
  <c r="J96" i="62"/>
  <c r="I96" i="62"/>
  <c r="J95" i="62"/>
  <c r="I95" i="62"/>
  <c r="J94" i="62"/>
  <c r="I94" i="62"/>
  <c r="J93" i="62"/>
  <c r="I93" i="62"/>
  <c r="J92" i="62"/>
  <c r="I92" i="62"/>
  <c r="J91" i="62"/>
  <c r="I91" i="62"/>
  <c r="J90" i="62"/>
  <c r="I90" i="62"/>
  <c r="J89" i="62"/>
  <c r="I89" i="62"/>
  <c r="J88" i="62"/>
  <c r="I88" i="62"/>
  <c r="J87" i="62"/>
  <c r="I87" i="62"/>
  <c r="J86" i="62"/>
  <c r="I86" i="62"/>
  <c r="J85" i="62"/>
  <c r="I85" i="62"/>
  <c r="J84" i="62"/>
  <c r="I84" i="62"/>
  <c r="J83" i="62"/>
  <c r="I83" i="62"/>
  <c r="J82" i="62"/>
  <c r="I82" i="62"/>
  <c r="J81" i="62"/>
  <c r="I81" i="62"/>
  <c r="J80" i="62"/>
  <c r="I80" i="62"/>
  <c r="J79" i="62"/>
  <c r="I79" i="62"/>
  <c r="J78" i="62"/>
  <c r="I78" i="62"/>
  <c r="J77" i="62"/>
  <c r="I77" i="62"/>
  <c r="J76" i="62"/>
  <c r="I76" i="62"/>
  <c r="J75" i="62"/>
  <c r="I75" i="62"/>
  <c r="J74" i="62"/>
  <c r="I74" i="62"/>
  <c r="J73" i="62"/>
  <c r="I73" i="62"/>
  <c r="J72" i="62"/>
  <c r="I72" i="62"/>
  <c r="J71" i="62"/>
  <c r="I71" i="62"/>
  <c r="J70" i="62"/>
  <c r="I70" i="62"/>
  <c r="J69" i="62"/>
  <c r="I69" i="62"/>
  <c r="J68" i="62"/>
  <c r="I68" i="62"/>
  <c r="J67" i="62"/>
  <c r="I67" i="62"/>
  <c r="J66" i="62"/>
  <c r="I66" i="62"/>
  <c r="J65" i="62"/>
  <c r="I65" i="62"/>
  <c r="J64" i="62"/>
  <c r="I64" i="62"/>
  <c r="J63" i="62"/>
  <c r="I63" i="62"/>
  <c r="J62" i="62"/>
  <c r="I62" i="62"/>
  <c r="J61" i="62"/>
  <c r="I61" i="62"/>
  <c r="J60" i="62"/>
  <c r="I60" i="62"/>
  <c r="J59" i="62"/>
  <c r="I59" i="62"/>
  <c r="J58" i="62"/>
  <c r="I58" i="62"/>
  <c r="J57" i="62"/>
  <c r="I57" i="62"/>
  <c r="J56" i="62"/>
  <c r="I56" i="62"/>
  <c r="J55" i="62"/>
  <c r="I55" i="62"/>
  <c r="J54" i="62"/>
  <c r="I54" i="62"/>
  <c r="J53" i="62"/>
  <c r="I53" i="62"/>
  <c r="J52" i="62"/>
  <c r="I52" i="62"/>
  <c r="J51" i="62"/>
  <c r="I51" i="62"/>
  <c r="J50" i="62"/>
  <c r="I50" i="62"/>
  <c r="J49" i="62"/>
  <c r="I49" i="62"/>
  <c r="J48" i="62"/>
  <c r="I48" i="62"/>
  <c r="J47" i="62"/>
  <c r="I47" i="62"/>
  <c r="G47" i="62"/>
  <c r="H47" i="62" s="1"/>
  <c r="J46" i="62"/>
  <c r="I46" i="62"/>
  <c r="J45" i="62"/>
  <c r="I45" i="62"/>
  <c r="G45" i="62"/>
  <c r="H45" i="62" s="1"/>
  <c r="J44" i="62"/>
  <c r="I44" i="62"/>
  <c r="J43" i="62"/>
  <c r="I43" i="62"/>
  <c r="J42" i="62"/>
  <c r="I42" i="62"/>
  <c r="J41" i="62"/>
  <c r="I41" i="62"/>
  <c r="J40" i="62"/>
  <c r="I40" i="62"/>
  <c r="J39" i="62"/>
  <c r="I39" i="62"/>
  <c r="J38" i="62"/>
  <c r="I38" i="62"/>
  <c r="J37" i="62"/>
  <c r="I37" i="62"/>
  <c r="J36" i="62"/>
  <c r="I36" i="62"/>
  <c r="G36" i="62"/>
  <c r="H36" i="62" s="1"/>
  <c r="J35" i="62"/>
  <c r="I35" i="62"/>
  <c r="J34" i="62"/>
  <c r="I34" i="62"/>
  <c r="J33" i="62"/>
  <c r="I33" i="62"/>
  <c r="J32" i="62"/>
  <c r="I32" i="62"/>
  <c r="J31" i="62"/>
  <c r="I31" i="62"/>
  <c r="J30" i="62"/>
  <c r="I30" i="62"/>
  <c r="J29" i="62"/>
  <c r="I29" i="62"/>
  <c r="G29" i="62"/>
  <c r="G30" i="62" s="1"/>
  <c r="H30" i="62" s="1"/>
  <c r="J28" i="62"/>
  <c r="I28" i="62"/>
  <c r="G28" i="62"/>
  <c r="H28" i="62" s="1"/>
  <c r="J27" i="62"/>
  <c r="I27" i="62"/>
  <c r="J26" i="62"/>
  <c r="I26" i="62"/>
  <c r="G26" i="62"/>
  <c r="H26" i="62" s="1"/>
  <c r="J25" i="62"/>
  <c r="I25" i="62"/>
  <c r="J24" i="62"/>
  <c r="I24" i="62"/>
  <c r="J23" i="62"/>
  <c r="I23" i="62"/>
  <c r="J22" i="62"/>
  <c r="I22" i="62"/>
  <c r="J21" i="62"/>
  <c r="I21" i="62"/>
  <c r="G21" i="62"/>
  <c r="H21" i="62" s="1"/>
  <c r="J20" i="62"/>
  <c r="I20" i="62"/>
  <c r="J19" i="62"/>
  <c r="I19" i="62"/>
  <c r="J18" i="62"/>
  <c r="I18" i="62"/>
  <c r="G18" i="62"/>
  <c r="H18" i="62" s="1"/>
  <c r="J17" i="62"/>
  <c r="I17" i="62"/>
  <c r="O16" i="62"/>
  <c r="J16" i="62"/>
  <c r="I16" i="62"/>
  <c r="J15" i="62"/>
  <c r="I15" i="62"/>
  <c r="P14" i="62"/>
  <c r="N14" i="62"/>
  <c r="J14" i="62"/>
  <c r="I14" i="62"/>
  <c r="O13" i="62"/>
  <c r="J13" i="62"/>
  <c r="I13" i="62"/>
  <c r="G13" i="62"/>
  <c r="H13" i="62" s="1"/>
  <c r="O12" i="62"/>
  <c r="J12" i="62"/>
  <c r="I12" i="62"/>
  <c r="O11" i="62"/>
  <c r="J11" i="62"/>
  <c r="I11" i="62"/>
  <c r="G11" i="62"/>
  <c r="G12" i="62" s="1"/>
  <c r="H12" i="62" s="1"/>
  <c r="O10" i="62"/>
  <c r="J10" i="62"/>
  <c r="I10" i="62"/>
  <c r="G10" i="62"/>
  <c r="H10" i="62" s="1"/>
  <c r="O9" i="62"/>
  <c r="J9" i="62"/>
  <c r="I9" i="62"/>
  <c r="O8" i="62"/>
  <c r="J8" i="62"/>
  <c r="I8" i="62"/>
  <c r="G8" i="62"/>
  <c r="H8" i="62" s="1"/>
  <c r="O7" i="62"/>
  <c r="J7" i="62"/>
  <c r="I7" i="62"/>
  <c r="O6" i="62"/>
  <c r="J6" i="62"/>
  <c r="I6" i="62"/>
  <c r="O5" i="62"/>
  <c r="J5" i="62"/>
  <c r="I5" i="62"/>
  <c r="O4" i="62"/>
  <c r="J4" i="62"/>
  <c r="I4" i="62"/>
  <c r="G4" i="62"/>
  <c r="H4" i="62" s="1"/>
  <c r="O3" i="62"/>
  <c r="J3" i="62"/>
  <c r="I3" i="62"/>
  <c r="J2" i="62"/>
  <c r="I2" i="62"/>
  <c r="H2" i="62"/>
  <c r="G2" i="62"/>
  <c r="G3" i="62" s="1"/>
  <c r="H3" i="62" s="1"/>
  <c r="J250" i="61"/>
  <c r="I250" i="61"/>
  <c r="J249" i="61"/>
  <c r="I249" i="61"/>
  <c r="J248" i="61"/>
  <c r="I248" i="61"/>
  <c r="J247" i="61"/>
  <c r="I247" i="61"/>
  <c r="J246" i="61"/>
  <c r="I246" i="61"/>
  <c r="J245" i="61"/>
  <c r="I245" i="61"/>
  <c r="J244" i="61"/>
  <c r="I244" i="61"/>
  <c r="J243" i="61"/>
  <c r="I243" i="61"/>
  <c r="J242" i="61"/>
  <c r="I242" i="61"/>
  <c r="J241" i="61"/>
  <c r="I241" i="61"/>
  <c r="J240" i="61"/>
  <c r="I240" i="61"/>
  <c r="J239" i="61"/>
  <c r="I239" i="61"/>
  <c r="J238" i="61"/>
  <c r="I238" i="61"/>
  <c r="J237" i="61"/>
  <c r="I237" i="61"/>
  <c r="J236" i="61"/>
  <c r="I236" i="61"/>
  <c r="J235" i="61"/>
  <c r="I235" i="61"/>
  <c r="J234" i="61"/>
  <c r="I234" i="61"/>
  <c r="J233" i="61"/>
  <c r="I233" i="61"/>
  <c r="J232" i="61"/>
  <c r="I232" i="61"/>
  <c r="J231" i="61"/>
  <c r="I231" i="61"/>
  <c r="J230" i="61"/>
  <c r="I230" i="61"/>
  <c r="J229" i="61"/>
  <c r="I229" i="61"/>
  <c r="J228" i="61"/>
  <c r="I228" i="61"/>
  <c r="J227" i="61"/>
  <c r="I227" i="61"/>
  <c r="J226" i="61"/>
  <c r="I226" i="61"/>
  <c r="J225" i="61"/>
  <c r="I225" i="61"/>
  <c r="J224" i="61"/>
  <c r="I224" i="61"/>
  <c r="J223" i="61"/>
  <c r="I223" i="61"/>
  <c r="J222" i="61"/>
  <c r="I222" i="61"/>
  <c r="J221" i="61"/>
  <c r="I221" i="61"/>
  <c r="J220" i="61"/>
  <c r="I220" i="61"/>
  <c r="J219" i="61"/>
  <c r="I219" i="61"/>
  <c r="J218" i="61"/>
  <c r="I218" i="61"/>
  <c r="J217" i="61"/>
  <c r="I217" i="61"/>
  <c r="J216" i="61"/>
  <c r="I216" i="61"/>
  <c r="J215" i="61"/>
  <c r="I215" i="61"/>
  <c r="J214" i="61"/>
  <c r="I214" i="61"/>
  <c r="J213" i="61"/>
  <c r="I213" i="61"/>
  <c r="J212" i="61"/>
  <c r="I212" i="61"/>
  <c r="J211" i="61"/>
  <c r="I211" i="61"/>
  <c r="J210" i="61"/>
  <c r="I210" i="61"/>
  <c r="J209" i="61"/>
  <c r="I209" i="61"/>
  <c r="J208" i="61"/>
  <c r="I208" i="61"/>
  <c r="J207" i="61"/>
  <c r="I207" i="61"/>
  <c r="J206" i="61"/>
  <c r="I206" i="61"/>
  <c r="J205" i="61"/>
  <c r="I205" i="61"/>
  <c r="J204" i="61"/>
  <c r="I204" i="61"/>
  <c r="J203" i="61"/>
  <c r="I203" i="61"/>
  <c r="J202" i="61"/>
  <c r="I202" i="61"/>
  <c r="J201" i="61"/>
  <c r="I201" i="61"/>
  <c r="J200" i="61"/>
  <c r="I200" i="61"/>
  <c r="J199" i="61"/>
  <c r="I199" i="61"/>
  <c r="J198" i="61"/>
  <c r="I198" i="61"/>
  <c r="J197" i="61"/>
  <c r="I197" i="61"/>
  <c r="J196" i="61"/>
  <c r="I196" i="61"/>
  <c r="J195" i="61"/>
  <c r="I195" i="61"/>
  <c r="J194" i="61"/>
  <c r="I194" i="61"/>
  <c r="J193" i="61"/>
  <c r="I193" i="61"/>
  <c r="J192" i="61"/>
  <c r="I192" i="61"/>
  <c r="J191" i="61"/>
  <c r="I191" i="61"/>
  <c r="J190" i="61"/>
  <c r="I190" i="61"/>
  <c r="J189" i="61"/>
  <c r="I189" i="61"/>
  <c r="J188" i="61"/>
  <c r="I188" i="61"/>
  <c r="J187" i="61"/>
  <c r="I187" i="61"/>
  <c r="J186" i="61"/>
  <c r="I186" i="61"/>
  <c r="J185" i="61"/>
  <c r="I185" i="61"/>
  <c r="J184" i="61"/>
  <c r="I184" i="61"/>
  <c r="J183" i="61"/>
  <c r="I183" i="61"/>
  <c r="J182" i="61"/>
  <c r="I182" i="61"/>
  <c r="J181" i="61"/>
  <c r="I181" i="61"/>
  <c r="J180" i="61"/>
  <c r="I180" i="61"/>
  <c r="J179" i="61"/>
  <c r="I179" i="61"/>
  <c r="J178" i="61"/>
  <c r="I178" i="61"/>
  <c r="J177" i="61"/>
  <c r="I177" i="61"/>
  <c r="J176" i="61"/>
  <c r="I176" i="61"/>
  <c r="J175" i="61"/>
  <c r="I175" i="61"/>
  <c r="J174" i="61"/>
  <c r="I174" i="61"/>
  <c r="J173" i="61"/>
  <c r="I173" i="61"/>
  <c r="J172" i="61"/>
  <c r="I172" i="61"/>
  <c r="J171" i="61"/>
  <c r="I171" i="61"/>
  <c r="J170" i="61"/>
  <c r="I170" i="61"/>
  <c r="J169" i="61"/>
  <c r="I169" i="61"/>
  <c r="J168" i="61"/>
  <c r="I168" i="61"/>
  <c r="J167" i="61"/>
  <c r="I167" i="61"/>
  <c r="J166" i="61"/>
  <c r="I166" i="61"/>
  <c r="J165" i="61"/>
  <c r="I165" i="61"/>
  <c r="J164" i="61"/>
  <c r="I164" i="61"/>
  <c r="J163" i="61"/>
  <c r="I163" i="61"/>
  <c r="J162" i="61"/>
  <c r="I162" i="61"/>
  <c r="J161" i="61"/>
  <c r="I161" i="61"/>
  <c r="J160" i="61"/>
  <c r="I160" i="61"/>
  <c r="J159" i="61"/>
  <c r="I159" i="61"/>
  <c r="J158" i="61"/>
  <c r="I158" i="61"/>
  <c r="J157" i="61"/>
  <c r="I157" i="61"/>
  <c r="J156" i="61"/>
  <c r="I156" i="61"/>
  <c r="J155" i="61"/>
  <c r="I155" i="61"/>
  <c r="J154" i="61"/>
  <c r="I154" i="61"/>
  <c r="J153" i="61"/>
  <c r="I153" i="61"/>
  <c r="J152" i="61"/>
  <c r="I152" i="61"/>
  <c r="J151" i="61"/>
  <c r="I151" i="61"/>
  <c r="J150" i="61"/>
  <c r="I150" i="61"/>
  <c r="J149" i="61"/>
  <c r="I149" i="61"/>
  <c r="J148" i="61"/>
  <c r="I148" i="61"/>
  <c r="J147" i="61"/>
  <c r="I147" i="61"/>
  <c r="J146" i="61"/>
  <c r="I146" i="61"/>
  <c r="J145" i="61"/>
  <c r="I145" i="61"/>
  <c r="J144" i="61"/>
  <c r="I144" i="61"/>
  <c r="J143" i="61"/>
  <c r="I143" i="61"/>
  <c r="J142" i="61"/>
  <c r="I142" i="61"/>
  <c r="J141" i="61"/>
  <c r="I141" i="61"/>
  <c r="J140" i="61"/>
  <c r="I140" i="61"/>
  <c r="J139" i="61"/>
  <c r="I139" i="61"/>
  <c r="J138" i="61"/>
  <c r="I138" i="61"/>
  <c r="J137" i="61"/>
  <c r="I137" i="61"/>
  <c r="J136" i="61"/>
  <c r="I136" i="61"/>
  <c r="J135" i="61"/>
  <c r="I135" i="61"/>
  <c r="J134" i="61"/>
  <c r="I134" i="61"/>
  <c r="J133" i="61"/>
  <c r="I133" i="61"/>
  <c r="J132" i="61"/>
  <c r="I132" i="61"/>
  <c r="J131" i="61"/>
  <c r="I131" i="61"/>
  <c r="J130" i="61"/>
  <c r="I130" i="61"/>
  <c r="J129" i="61"/>
  <c r="I129" i="61"/>
  <c r="J128" i="61"/>
  <c r="I128" i="61"/>
  <c r="J127" i="61"/>
  <c r="I127" i="61"/>
  <c r="J126" i="61"/>
  <c r="I126" i="61"/>
  <c r="J125" i="61"/>
  <c r="I125" i="61"/>
  <c r="J124" i="61"/>
  <c r="I124" i="61"/>
  <c r="J123" i="61"/>
  <c r="I123" i="61"/>
  <c r="J122" i="61"/>
  <c r="I122" i="61"/>
  <c r="J121" i="61"/>
  <c r="I121" i="61"/>
  <c r="J120" i="61"/>
  <c r="I120" i="61"/>
  <c r="J119" i="61"/>
  <c r="I119" i="61"/>
  <c r="J118" i="61"/>
  <c r="I118" i="61"/>
  <c r="J117" i="61"/>
  <c r="I117" i="61"/>
  <c r="J116" i="61"/>
  <c r="I116" i="61"/>
  <c r="J115" i="61"/>
  <c r="I115" i="61"/>
  <c r="J114" i="61"/>
  <c r="I114" i="61"/>
  <c r="J113" i="61"/>
  <c r="I113" i="61"/>
  <c r="J112" i="61"/>
  <c r="I112" i="61"/>
  <c r="J111" i="61"/>
  <c r="I111" i="61"/>
  <c r="J110" i="61"/>
  <c r="I110" i="61"/>
  <c r="J109" i="61"/>
  <c r="I109" i="61"/>
  <c r="J108" i="61"/>
  <c r="I108" i="61"/>
  <c r="J107" i="61"/>
  <c r="I107" i="61"/>
  <c r="J106" i="61"/>
  <c r="I106" i="61"/>
  <c r="J105" i="61"/>
  <c r="I105" i="61"/>
  <c r="J104" i="61"/>
  <c r="I104" i="61"/>
  <c r="J103" i="61"/>
  <c r="I103" i="61"/>
  <c r="J102" i="61"/>
  <c r="I102" i="61"/>
  <c r="J101" i="61"/>
  <c r="I101" i="61"/>
  <c r="J100" i="61"/>
  <c r="I100" i="61"/>
  <c r="J99" i="61"/>
  <c r="I99" i="61"/>
  <c r="J98" i="61"/>
  <c r="I98" i="61"/>
  <c r="J97" i="61"/>
  <c r="I97" i="61"/>
  <c r="J96" i="61"/>
  <c r="I96" i="61"/>
  <c r="J95" i="61"/>
  <c r="I95" i="61"/>
  <c r="J94" i="61"/>
  <c r="I94" i="61"/>
  <c r="J93" i="61"/>
  <c r="I93" i="61"/>
  <c r="J92" i="61"/>
  <c r="I92" i="61"/>
  <c r="J91" i="61"/>
  <c r="I91" i="61"/>
  <c r="J90" i="61"/>
  <c r="I90" i="61"/>
  <c r="J89" i="61"/>
  <c r="I89" i="61"/>
  <c r="J88" i="61"/>
  <c r="I88" i="61"/>
  <c r="J87" i="61"/>
  <c r="I87" i="61"/>
  <c r="J86" i="61"/>
  <c r="I86" i="61"/>
  <c r="J85" i="61"/>
  <c r="I85" i="61"/>
  <c r="J84" i="61"/>
  <c r="I84" i="61"/>
  <c r="J83" i="61"/>
  <c r="I83" i="61"/>
  <c r="J82" i="61"/>
  <c r="I82" i="61"/>
  <c r="J81" i="61"/>
  <c r="I81" i="61"/>
  <c r="J80" i="61"/>
  <c r="I80" i="61"/>
  <c r="J79" i="61"/>
  <c r="I79" i="61"/>
  <c r="J78" i="61"/>
  <c r="I78" i="61"/>
  <c r="J77" i="61"/>
  <c r="I77" i="61"/>
  <c r="J76" i="61"/>
  <c r="I76" i="61"/>
  <c r="J75" i="61"/>
  <c r="I75" i="61"/>
  <c r="J74" i="61"/>
  <c r="I74" i="61"/>
  <c r="J73" i="61"/>
  <c r="I73" i="61"/>
  <c r="J72" i="61"/>
  <c r="I72" i="61"/>
  <c r="J71" i="61"/>
  <c r="I71" i="61"/>
  <c r="J70" i="61"/>
  <c r="I70" i="61"/>
  <c r="J69" i="61"/>
  <c r="I69" i="61"/>
  <c r="J68" i="61"/>
  <c r="I68" i="61"/>
  <c r="J67" i="61"/>
  <c r="I67" i="61"/>
  <c r="J66" i="61"/>
  <c r="I66" i="61"/>
  <c r="J65" i="61"/>
  <c r="I65" i="61"/>
  <c r="J64" i="61"/>
  <c r="I64" i="61"/>
  <c r="J63" i="61"/>
  <c r="I63" i="61"/>
  <c r="J62" i="61"/>
  <c r="I62" i="61"/>
  <c r="J61" i="61"/>
  <c r="I61" i="61"/>
  <c r="J60" i="61"/>
  <c r="I60" i="61"/>
  <c r="J59" i="61"/>
  <c r="I59" i="61"/>
  <c r="J58" i="61"/>
  <c r="I58" i="61"/>
  <c r="J57" i="61"/>
  <c r="I57" i="61"/>
  <c r="J56" i="61"/>
  <c r="I56" i="61"/>
  <c r="J55" i="61"/>
  <c r="I55" i="61"/>
  <c r="J54" i="61"/>
  <c r="I54" i="61"/>
  <c r="J53" i="61"/>
  <c r="I53" i="61"/>
  <c r="J52" i="61"/>
  <c r="I52" i="61"/>
  <c r="J51" i="61"/>
  <c r="I51" i="61"/>
  <c r="J50" i="61"/>
  <c r="I50" i="61"/>
  <c r="J49" i="61"/>
  <c r="I49" i="61"/>
  <c r="J48" i="61"/>
  <c r="I48" i="61"/>
  <c r="J47" i="61"/>
  <c r="I47" i="61"/>
  <c r="G47" i="61"/>
  <c r="H47" i="61" s="1"/>
  <c r="J46" i="61"/>
  <c r="I46" i="61"/>
  <c r="J45" i="61"/>
  <c r="I45" i="61"/>
  <c r="G45" i="61"/>
  <c r="G46" i="61" s="1"/>
  <c r="H46" i="61" s="1"/>
  <c r="J44" i="61"/>
  <c r="I44" i="61"/>
  <c r="J43" i="61"/>
  <c r="I43" i="61"/>
  <c r="J42" i="61"/>
  <c r="I42" i="61"/>
  <c r="J41" i="61"/>
  <c r="I41" i="61"/>
  <c r="J40" i="61"/>
  <c r="I40" i="61"/>
  <c r="J39" i="61"/>
  <c r="I39" i="61"/>
  <c r="J38" i="61"/>
  <c r="I38" i="61"/>
  <c r="J37" i="61"/>
  <c r="I37" i="61"/>
  <c r="J36" i="61"/>
  <c r="I36" i="61"/>
  <c r="G36" i="61"/>
  <c r="H36" i="61" s="1"/>
  <c r="J35" i="61"/>
  <c r="I35" i="61"/>
  <c r="J34" i="61"/>
  <c r="I34" i="61"/>
  <c r="J33" i="61"/>
  <c r="I33" i="61"/>
  <c r="J32" i="61"/>
  <c r="I32" i="61"/>
  <c r="J31" i="61"/>
  <c r="I31" i="61"/>
  <c r="J30" i="61"/>
  <c r="I30" i="61"/>
  <c r="J29" i="61"/>
  <c r="I29" i="61"/>
  <c r="G29" i="61"/>
  <c r="G30" i="61" s="1"/>
  <c r="H30" i="61" s="1"/>
  <c r="J28" i="61"/>
  <c r="I28" i="61"/>
  <c r="G28" i="61"/>
  <c r="H28" i="61" s="1"/>
  <c r="J27" i="61"/>
  <c r="I27" i="61"/>
  <c r="J26" i="61"/>
  <c r="I26" i="61"/>
  <c r="G26" i="61"/>
  <c r="G27" i="61" s="1"/>
  <c r="H27" i="61" s="1"/>
  <c r="J25" i="61"/>
  <c r="I25" i="61"/>
  <c r="J24" i="61"/>
  <c r="I24" i="61"/>
  <c r="J23" i="61"/>
  <c r="I23" i="61"/>
  <c r="J22" i="61"/>
  <c r="I22" i="61"/>
  <c r="J21" i="61"/>
  <c r="I21" i="61"/>
  <c r="G21" i="61"/>
  <c r="H21" i="61" s="1"/>
  <c r="J20" i="61"/>
  <c r="I20" i="61"/>
  <c r="J19" i="61"/>
  <c r="I19" i="61"/>
  <c r="J18" i="61"/>
  <c r="I18" i="61"/>
  <c r="G18" i="61"/>
  <c r="H18" i="61" s="1"/>
  <c r="J17" i="61"/>
  <c r="I17" i="61"/>
  <c r="O16" i="61"/>
  <c r="J16" i="61"/>
  <c r="I16" i="61"/>
  <c r="J15" i="61"/>
  <c r="I15" i="61"/>
  <c r="P14" i="61"/>
  <c r="N14" i="61"/>
  <c r="J14" i="61"/>
  <c r="I14" i="61"/>
  <c r="O13" i="61"/>
  <c r="J13" i="61"/>
  <c r="I13" i="61"/>
  <c r="G13" i="61"/>
  <c r="G14" i="61" s="1"/>
  <c r="H14" i="61" s="1"/>
  <c r="O12" i="61"/>
  <c r="J12" i="61"/>
  <c r="I12" i="61"/>
  <c r="O11" i="61"/>
  <c r="J11" i="61"/>
  <c r="I11" i="61"/>
  <c r="O10" i="61"/>
  <c r="J10" i="61"/>
  <c r="I10" i="61"/>
  <c r="G10" i="61"/>
  <c r="H10" i="61" s="1"/>
  <c r="O9" i="61"/>
  <c r="J9" i="61"/>
  <c r="I9" i="61"/>
  <c r="O8" i="61"/>
  <c r="J8" i="61"/>
  <c r="I8" i="61"/>
  <c r="G8" i="61"/>
  <c r="G9" i="61" s="1"/>
  <c r="H9" i="61" s="1"/>
  <c r="O7" i="61"/>
  <c r="J7" i="61"/>
  <c r="I7" i="61"/>
  <c r="O6" i="61"/>
  <c r="J6" i="61"/>
  <c r="I6" i="61"/>
  <c r="O5" i="61"/>
  <c r="J5" i="61"/>
  <c r="I5" i="61"/>
  <c r="O4" i="61"/>
  <c r="J4" i="61"/>
  <c r="I4" i="61"/>
  <c r="G4" i="61"/>
  <c r="H4" i="61" s="1"/>
  <c r="O3" i="61"/>
  <c r="J3" i="61"/>
  <c r="I3" i="61"/>
  <c r="J2" i="61"/>
  <c r="I2" i="61"/>
  <c r="H2" i="61"/>
  <c r="G2" i="61"/>
  <c r="G3" i="61" s="1"/>
  <c r="H3" i="61" s="1"/>
  <c r="J250" i="60"/>
  <c r="I250" i="60"/>
  <c r="J249" i="60"/>
  <c r="I249" i="60"/>
  <c r="J248" i="60"/>
  <c r="I248" i="60"/>
  <c r="J247" i="60"/>
  <c r="I247" i="60"/>
  <c r="J246" i="60"/>
  <c r="I246" i="60"/>
  <c r="J245" i="60"/>
  <c r="I245" i="60"/>
  <c r="J244" i="60"/>
  <c r="I244" i="60"/>
  <c r="J243" i="60"/>
  <c r="I243" i="60"/>
  <c r="J242" i="60"/>
  <c r="I242" i="60"/>
  <c r="J241" i="60"/>
  <c r="I241" i="60"/>
  <c r="J240" i="60"/>
  <c r="I240" i="60"/>
  <c r="J239" i="60"/>
  <c r="I239" i="60"/>
  <c r="J238" i="60"/>
  <c r="I238" i="60"/>
  <c r="J237" i="60"/>
  <c r="I237" i="60"/>
  <c r="J236" i="60"/>
  <c r="I236" i="60"/>
  <c r="J235" i="60"/>
  <c r="I235" i="60"/>
  <c r="J234" i="60"/>
  <c r="I234" i="60"/>
  <c r="J233" i="60"/>
  <c r="I233" i="60"/>
  <c r="J232" i="60"/>
  <c r="I232" i="60"/>
  <c r="J231" i="60"/>
  <c r="I231" i="60"/>
  <c r="J230" i="60"/>
  <c r="I230" i="60"/>
  <c r="J229" i="60"/>
  <c r="I229" i="60"/>
  <c r="J228" i="60"/>
  <c r="I228" i="60"/>
  <c r="J227" i="60"/>
  <c r="I227" i="60"/>
  <c r="J226" i="60"/>
  <c r="I226" i="60"/>
  <c r="J225" i="60"/>
  <c r="I225" i="60"/>
  <c r="J224" i="60"/>
  <c r="I224" i="60"/>
  <c r="J223" i="60"/>
  <c r="I223" i="60"/>
  <c r="J222" i="60"/>
  <c r="I222" i="60"/>
  <c r="J221" i="60"/>
  <c r="I221" i="60"/>
  <c r="J220" i="60"/>
  <c r="I220" i="60"/>
  <c r="J219" i="60"/>
  <c r="I219" i="60"/>
  <c r="J218" i="60"/>
  <c r="I218" i="60"/>
  <c r="J217" i="60"/>
  <c r="I217" i="60"/>
  <c r="J216" i="60"/>
  <c r="I216" i="60"/>
  <c r="J215" i="60"/>
  <c r="I215" i="60"/>
  <c r="J214" i="60"/>
  <c r="I214" i="60"/>
  <c r="J213" i="60"/>
  <c r="I213" i="60"/>
  <c r="J212" i="60"/>
  <c r="I212" i="60"/>
  <c r="J211" i="60"/>
  <c r="I211" i="60"/>
  <c r="J210" i="60"/>
  <c r="I210" i="60"/>
  <c r="J209" i="60"/>
  <c r="I209" i="60"/>
  <c r="J208" i="60"/>
  <c r="I208" i="60"/>
  <c r="J207" i="60"/>
  <c r="I207" i="60"/>
  <c r="J206" i="60"/>
  <c r="I206" i="60"/>
  <c r="J205" i="60"/>
  <c r="I205" i="60"/>
  <c r="J204" i="60"/>
  <c r="I204" i="60"/>
  <c r="J203" i="60"/>
  <c r="I203" i="60"/>
  <c r="J202" i="60"/>
  <c r="I202" i="60"/>
  <c r="J201" i="60"/>
  <c r="I201" i="60"/>
  <c r="J200" i="60"/>
  <c r="I200" i="60"/>
  <c r="J199" i="60"/>
  <c r="I199" i="60"/>
  <c r="J198" i="60"/>
  <c r="I198" i="60"/>
  <c r="J197" i="60"/>
  <c r="I197" i="60"/>
  <c r="J196" i="60"/>
  <c r="I196" i="60"/>
  <c r="J195" i="60"/>
  <c r="I195" i="60"/>
  <c r="J194" i="60"/>
  <c r="I194" i="60"/>
  <c r="J193" i="60"/>
  <c r="I193" i="60"/>
  <c r="J192" i="60"/>
  <c r="I192" i="60"/>
  <c r="J191" i="60"/>
  <c r="I191" i="60"/>
  <c r="J190" i="60"/>
  <c r="I190" i="60"/>
  <c r="J189" i="60"/>
  <c r="I189" i="60"/>
  <c r="J188" i="60"/>
  <c r="I188" i="60"/>
  <c r="J187" i="60"/>
  <c r="I187" i="60"/>
  <c r="J186" i="60"/>
  <c r="I186" i="60"/>
  <c r="J185" i="60"/>
  <c r="I185" i="60"/>
  <c r="J184" i="60"/>
  <c r="I184" i="60"/>
  <c r="J183" i="60"/>
  <c r="I183" i="60"/>
  <c r="J182" i="60"/>
  <c r="I182" i="60"/>
  <c r="J181" i="60"/>
  <c r="I181" i="60"/>
  <c r="J180" i="60"/>
  <c r="I180" i="60"/>
  <c r="J179" i="60"/>
  <c r="I179" i="60"/>
  <c r="J178" i="60"/>
  <c r="I178" i="60"/>
  <c r="J177" i="60"/>
  <c r="I177" i="60"/>
  <c r="J176" i="60"/>
  <c r="I176" i="60"/>
  <c r="J175" i="60"/>
  <c r="I175" i="60"/>
  <c r="J174" i="60"/>
  <c r="I174" i="60"/>
  <c r="J173" i="60"/>
  <c r="I173" i="60"/>
  <c r="J172" i="60"/>
  <c r="I172" i="60"/>
  <c r="J171" i="60"/>
  <c r="I171" i="60"/>
  <c r="J170" i="60"/>
  <c r="I170" i="60"/>
  <c r="J169" i="60"/>
  <c r="I169" i="60"/>
  <c r="J168" i="60"/>
  <c r="I168" i="60"/>
  <c r="J167" i="60"/>
  <c r="I167" i="60"/>
  <c r="J166" i="60"/>
  <c r="I166" i="60"/>
  <c r="J165" i="60"/>
  <c r="I165" i="60"/>
  <c r="J164" i="60"/>
  <c r="I164" i="60"/>
  <c r="J163" i="60"/>
  <c r="I163" i="60"/>
  <c r="J162" i="60"/>
  <c r="I162" i="60"/>
  <c r="J161" i="60"/>
  <c r="I161" i="60"/>
  <c r="J160" i="60"/>
  <c r="I160" i="60"/>
  <c r="J159" i="60"/>
  <c r="I159" i="60"/>
  <c r="J158" i="60"/>
  <c r="I158" i="60"/>
  <c r="J157" i="60"/>
  <c r="I157" i="60"/>
  <c r="J156" i="60"/>
  <c r="I156" i="60"/>
  <c r="J155" i="60"/>
  <c r="I155" i="60"/>
  <c r="J154" i="60"/>
  <c r="I154" i="60"/>
  <c r="J153" i="60"/>
  <c r="I153" i="60"/>
  <c r="J152" i="60"/>
  <c r="I152" i="60"/>
  <c r="J151" i="60"/>
  <c r="I151" i="60"/>
  <c r="J150" i="60"/>
  <c r="I150" i="60"/>
  <c r="J149" i="60"/>
  <c r="I149" i="60"/>
  <c r="J148" i="60"/>
  <c r="I148" i="60"/>
  <c r="J147" i="60"/>
  <c r="I147" i="60"/>
  <c r="J146" i="60"/>
  <c r="I146" i="60"/>
  <c r="J145" i="60"/>
  <c r="I145" i="60"/>
  <c r="J144" i="60"/>
  <c r="I144" i="60"/>
  <c r="J143" i="60"/>
  <c r="I143" i="60"/>
  <c r="J142" i="60"/>
  <c r="I142" i="60"/>
  <c r="J141" i="60"/>
  <c r="I141" i="60"/>
  <c r="J140" i="60"/>
  <c r="I140" i="60"/>
  <c r="J139" i="60"/>
  <c r="I139" i="60"/>
  <c r="J138" i="60"/>
  <c r="I138" i="60"/>
  <c r="J137" i="60"/>
  <c r="I137" i="60"/>
  <c r="J136" i="60"/>
  <c r="I136" i="60"/>
  <c r="J135" i="60"/>
  <c r="I135" i="60"/>
  <c r="J134" i="60"/>
  <c r="I134" i="60"/>
  <c r="J133" i="60"/>
  <c r="I133" i="60"/>
  <c r="J132" i="60"/>
  <c r="I132" i="60"/>
  <c r="J131" i="60"/>
  <c r="I131" i="60"/>
  <c r="J130" i="60"/>
  <c r="I130" i="60"/>
  <c r="J129" i="60"/>
  <c r="I129" i="60"/>
  <c r="J128" i="60"/>
  <c r="I128" i="60"/>
  <c r="J127" i="60"/>
  <c r="I127" i="60"/>
  <c r="J126" i="60"/>
  <c r="I126" i="60"/>
  <c r="J125" i="60"/>
  <c r="I125" i="60"/>
  <c r="J124" i="60"/>
  <c r="I124" i="60"/>
  <c r="J123" i="60"/>
  <c r="I123" i="60"/>
  <c r="J122" i="60"/>
  <c r="I122" i="60"/>
  <c r="J121" i="60"/>
  <c r="I121" i="60"/>
  <c r="J120" i="60"/>
  <c r="I120" i="60"/>
  <c r="J119" i="60"/>
  <c r="I119" i="60"/>
  <c r="J118" i="60"/>
  <c r="I118" i="60"/>
  <c r="J117" i="60"/>
  <c r="I117" i="60"/>
  <c r="J116" i="60"/>
  <c r="I116" i="60"/>
  <c r="J115" i="60"/>
  <c r="I115" i="60"/>
  <c r="J114" i="60"/>
  <c r="I114" i="60"/>
  <c r="J113" i="60"/>
  <c r="I113" i="60"/>
  <c r="J112" i="60"/>
  <c r="I112" i="60"/>
  <c r="J111" i="60"/>
  <c r="I111" i="60"/>
  <c r="J110" i="60"/>
  <c r="I110" i="60"/>
  <c r="J109" i="60"/>
  <c r="I109" i="60"/>
  <c r="J108" i="60"/>
  <c r="I108" i="60"/>
  <c r="J107" i="60"/>
  <c r="I107" i="60"/>
  <c r="J106" i="60"/>
  <c r="I106" i="60"/>
  <c r="J105" i="60"/>
  <c r="I105" i="60"/>
  <c r="J104" i="60"/>
  <c r="I104" i="60"/>
  <c r="J103" i="60"/>
  <c r="I103" i="60"/>
  <c r="J102" i="60"/>
  <c r="I102" i="60"/>
  <c r="J101" i="60"/>
  <c r="I101" i="60"/>
  <c r="J100" i="60"/>
  <c r="I100" i="60"/>
  <c r="J99" i="60"/>
  <c r="I99" i="60"/>
  <c r="J98" i="60"/>
  <c r="I98" i="60"/>
  <c r="J97" i="60"/>
  <c r="I97" i="60"/>
  <c r="J96" i="60"/>
  <c r="I96" i="60"/>
  <c r="J95" i="60"/>
  <c r="I95" i="60"/>
  <c r="J94" i="60"/>
  <c r="I94" i="60"/>
  <c r="J93" i="60"/>
  <c r="I93" i="60"/>
  <c r="J92" i="60"/>
  <c r="I92" i="60"/>
  <c r="J91" i="60"/>
  <c r="I91" i="60"/>
  <c r="J90" i="60"/>
  <c r="I90" i="60"/>
  <c r="J89" i="60"/>
  <c r="I89" i="60"/>
  <c r="J88" i="60"/>
  <c r="I88" i="60"/>
  <c r="J87" i="60"/>
  <c r="I87" i="60"/>
  <c r="J86" i="60"/>
  <c r="I86" i="60"/>
  <c r="J85" i="60"/>
  <c r="I85" i="60"/>
  <c r="J84" i="60"/>
  <c r="I84" i="60"/>
  <c r="J83" i="60"/>
  <c r="I83" i="60"/>
  <c r="J82" i="60"/>
  <c r="I82" i="60"/>
  <c r="J81" i="60"/>
  <c r="I81" i="60"/>
  <c r="J80" i="60"/>
  <c r="I80" i="60"/>
  <c r="J79" i="60"/>
  <c r="I79" i="60"/>
  <c r="J78" i="60"/>
  <c r="I78" i="60"/>
  <c r="J77" i="60"/>
  <c r="I77" i="60"/>
  <c r="J76" i="60"/>
  <c r="I76" i="60"/>
  <c r="J75" i="60"/>
  <c r="I75" i="60"/>
  <c r="J74" i="60"/>
  <c r="I74" i="60"/>
  <c r="J73" i="60"/>
  <c r="I73" i="60"/>
  <c r="J72" i="60"/>
  <c r="I72" i="60"/>
  <c r="J71" i="60"/>
  <c r="I71" i="60"/>
  <c r="J70" i="60"/>
  <c r="I70" i="60"/>
  <c r="J69" i="60"/>
  <c r="I69" i="60"/>
  <c r="J68" i="60"/>
  <c r="I68" i="60"/>
  <c r="J67" i="60"/>
  <c r="I67" i="60"/>
  <c r="J66" i="60"/>
  <c r="I66" i="60"/>
  <c r="J65" i="60"/>
  <c r="I65" i="60"/>
  <c r="J64" i="60"/>
  <c r="I64" i="60"/>
  <c r="J63" i="60"/>
  <c r="I63" i="60"/>
  <c r="J62" i="60"/>
  <c r="I62" i="60"/>
  <c r="J61" i="60"/>
  <c r="I61" i="60"/>
  <c r="J60" i="60"/>
  <c r="I60" i="60"/>
  <c r="J59" i="60"/>
  <c r="I59" i="60"/>
  <c r="J58" i="60"/>
  <c r="I58" i="60"/>
  <c r="J57" i="60"/>
  <c r="I57" i="60"/>
  <c r="J56" i="60"/>
  <c r="I56" i="60"/>
  <c r="J55" i="60"/>
  <c r="I55" i="60"/>
  <c r="J54" i="60"/>
  <c r="I54" i="60"/>
  <c r="J53" i="60"/>
  <c r="I53" i="60"/>
  <c r="J52" i="60"/>
  <c r="I52" i="60"/>
  <c r="J51" i="60"/>
  <c r="I51" i="60"/>
  <c r="J50" i="60"/>
  <c r="I50" i="60"/>
  <c r="J49" i="60"/>
  <c r="I49" i="60"/>
  <c r="J48" i="60"/>
  <c r="I48" i="60"/>
  <c r="J47" i="60"/>
  <c r="I47" i="60"/>
  <c r="G47" i="60"/>
  <c r="H47" i="60" s="1"/>
  <c r="J46" i="60"/>
  <c r="I46" i="60"/>
  <c r="J45" i="60"/>
  <c r="I45" i="60"/>
  <c r="G45" i="60"/>
  <c r="G46" i="60" s="1"/>
  <c r="H46" i="60" s="1"/>
  <c r="J44" i="60"/>
  <c r="I44" i="60"/>
  <c r="J43" i="60"/>
  <c r="I43" i="60"/>
  <c r="J42" i="60"/>
  <c r="I42" i="60"/>
  <c r="J41" i="60"/>
  <c r="I41" i="60"/>
  <c r="J40" i="60"/>
  <c r="I40" i="60"/>
  <c r="J39" i="60"/>
  <c r="I39" i="60"/>
  <c r="J38" i="60"/>
  <c r="I38" i="60"/>
  <c r="J37" i="60"/>
  <c r="I37" i="60"/>
  <c r="J36" i="60"/>
  <c r="I36" i="60"/>
  <c r="G36" i="60"/>
  <c r="H36" i="60" s="1"/>
  <c r="J35" i="60"/>
  <c r="I35" i="60"/>
  <c r="J34" i="60"/>
  <c r="I34" i="60"/>
  <c r="J33" i="60"/>
  <c r="I33" i="60"/>
  <c r="J32" i="60"/>
  <c r="I32" i="60"/>
  <c r="J31" i="60"/>
  <c r="I31" i="60"/>
  <c r="J30" i="60"/>
  <c r="I30" i="60"/>
  <c r="J29" i="60"/>
  <c r="I29" i="60"/>
  <c r="G29" i="60"/>
  <c r="G30" i="60" s="1"/>
  <c r="H30" i="60" s="1"/>
  <c r="J28" i="60"/>
  <c r="I28" i="60"/>
  <c r="G28" i="60"/>
  <c r="H28" i="60" s="1"/>
  <c r="J27" i="60"/>
  <c r="I27" i="60"/>
  <c r="J26" i="60"/>
  <c r="I26" i="60"/>
  <c r="G26" i="60"/>
  <c r="G27" i="60" s="1"/>
  <c r="H27" i="60" s="1"/>
  <c r="J25" i="60"/>
  <c r="I25" i="60"/>
  <c r="J24" i="60"/>
  <c r="I24" i="60"/>
  <c r="J23" i="60"/>
  <c r="I23" i="60"/>
  <c r="J22" i="60"/>
  <c r="I22" i="60"/>
  <c r="J21" i="60"/>
  <c r="I21" i="60"/>
  <c r="G21" i="60"/>
  <c r="H21" i="60" s="1"/>
  <c r="J20" i="60"/>
  <c r="I20" i="60"/>
  <c r="J19" i="60"/>
  <c r="I19" i="60"/>
  <c r="G19" i="60"/>
  <c r="H19" i="60" s="1"/>
  <c r="J18" i="60"/>
  <c r="I18" i="60"/>
  <c r="G18" i="60"/>
  <c r="H18" i="60" s="1"/>
  <c r="J17" i="60"/>
  <c r="I17" i="60"/>
  <c r="O16" i="60"/>
  <c r="J16" i="60"/>
  <c r="I16" i="60"/>
  <c r="J15" i="60"/>
  <c r="I15" i="60"/>
  <c r="P14" i="60"/>
  <c r="N14" i="60"/>
  <c r="J14" i="60"/>
  <c r="I14" i="60"/>
  <c r="O13" i="60"/>
  <c r="J13" i="60"/>
  <c r="I13" i="60"/>
  <c r="G13" i="60"/>
  <c r="H13" i="60" s="1"/>
  <c r="O12" i="60"/>
  <c r="J12" i="60"/>
  <c r="I12" i="60"/>
  <c r="O11" i="60"/>
  <c r="J11" i="60"/>
  <c r="I11" i="60"/>
  <c r="O10" i="60"/>
  <c r="J10" i="60"/>
  <c r="I10" i="60"/>
  <c r="G10" i="60"/>
  <c r="H10" i="60" s="1"/>
  <c r="O9" i="60"/>
  <c r="J9" i="60"/>
  <c r="I9" i="60"/>
  <c r="O8" i="60"/>
  <c r="J8" i="60"/>
  <c r="I8" i="60"/>
  <c r="G8" i="60"/>
  <c r="G9" i="60" s="1"/>
  <c r="H9" i="60" s="1"/>
  <c r="O7" i="60"/>
  <c r="J7" i="60"/>
  <c r="I7" i="60"/>
  <c r="O6" i="60"/>
  <c r="J6" i="60"/>
  <c r="I6" i="60"/>
  <c r="O5" i="60"/>
  <c r="J5" i="60"/>
  <c r="I5" i="60"/>
  <c r="O4" i="60"/>
  <c r="J4" i="60"/>
  <c r="I4" i="60"/>
  <c r="G4" i="60"/>
  <c r="G5" i="60" s="1"/>
  <c r="H5" i="60" s="1"/>
  <c r="O3" i="60"/>
  <c r="J3" i="60"/>
  <c r="I3" i="60"/>
  <c r="J2" i="60"/>
  <c r="I2" i="60"/>
  <c r="H2" i="60"/>
  <c r="G2" i="60"/>
  <c r="G3" i="60" s="1"/>
  <c r="H3" i="60" s="1"/>
  <c r="J250" i="59"/>
  <c r="I250" i="59"/>
  <c r="J249" i="59"/>
  <c r="I249" i="59"/>
  <c r="J248" i="59"/>
  <c r="I248" i="59"/>
  <c r="J247" i="59"/>
  <c r="I247" i="59"/>
  <c r="J246" i="59"/>
  <c r="I246" i="59"/>
  <c r="J245" i="59"/>
  <c r="I245" i="59"/>
  <c r="J244" i="59"/>
  <c r="I244" i="59"/>
  <c r="J243" i="59"/>
  <c r="I243" i="59"/>
  <c r="J242" i="59"/>
  <c r="I242" i="59"/>
  <c r="J241" i="59"/>
  <c r="I241" i="59"/>
  <c r="J240" i="59"/>
  <c r="I240" i="59"/>
  <c r="J239" i="59"/>
  <c r="I239" i="59"/>
  <c r="J238" i="59"/>
  <c r="I238" i="59"/>
  <c r="J237" i="59"/>
  <c r="I237" i="59"/>
  <c r="J236" i="59"/>
  <c r="I236" i="59"/>
  <c r="J235" i="59"/>
  <c r="I235" i="59"/>
  <c r="J234" i="59"/>
  <c r="I234" i="59"/>
  <c r="J233" i="59"/>
  <c r="I233" i="59"/>
  <c r="J232" i="59"/>
  <c r="I232" i="59"/>
  <c r="J231" i="59"/>
  <c r="I231" i="59"/>
  <c r="J230" i="59"/>
  <c r="I230" i="59"/>
  <c r="J229" i="59"/>
  <c r="I229" i="59"/>
  <c r="J228" i="59"/>
  <c r="I228" i="59"/>
  <c r="J227" i="59"/>
  <c r="I227" i="59"/>
  <c r="J226" i="59"/>
  <c r="I226" i="59"/>
  <c r="J225" i="59"/>
  <c r="I225" i="59"/>
  <c r="J224" i="59"/>
  <c r="I224" i="59"/>
  <c r="J223" i="59"/>
  <c r="I223" i="59"/>
  <c r="J222" i="59"/>
  <c r="I222" i="59"/>
  <c r="J221" i="59"/>
  <c r="I221" i="59"/>
  <c r="J220" i="59"/>
  <c r="I220" i="59"/>
  <c r="J219" i="59"/>
  <c r="I219" i="59"/>
  <c r="J218" i="59"/>
  <c r="I218" i="59"/>
  <c r="J217" i="59"/>
  <c r="I217" i="59"/>
  <c r="J216" i="59"/>
  <c r="I216" i="59"/>
  <c r="J215" i="59"/>
  <c r="I215" i="59"/>
  <c r="J214" i="59"/>
  <c r="I214" i="59"/>
  <c r="J213" i="59"/>
  <c r="I213" i="59"/>
  <c r="J212" i="59"/>
  <c r="I212" i="59"/>
  <c r="J211" i="59"/>
  <c r="I211" i="59"/>
  <c r="J210" i="59"/>
  <c r="I210" i="59"/>
  <c r="J209" i="59"/>
  <c r="I209" i="59"/>
  <c r="J208" i="59"/>
  <c r="I208" i="59"/>
  <c r="J207" i="59"/>
  <c r="I207" i="59"/>
  <c r="J206" i="59"/>
  <c r="I206" i="59"/>
  <c r="J205" i="59"/>
  <c r="I205" i="59"/>
  <c r="J204" i="59"/>
  <c r="I204" i="59"/>
  <c r="J203" i="59"/>
  <c r="I203" i="59"/>
  <c r="J202" i="59"/>
  <c r="I202" i="59"/>
  <c r="J201" i="59"/>
  <c r="I201" i="59"/>
  <c r="J200" i="59"/>
  <c r="I200" i="59"/>
  <c r="J199" i="59"/>
  <c r="I199" i="59"/>
  <c r="J198" i="59"/>
  <c r="I198" i="59"/>
  <c r="J197" i="59"/>
  <c r="I197" i="59"/>
  <c r="J196" i="59"/>
  <c r="I196" i="59"/>
  <c r="J195" i="59"/>
  <c r="I195" i="59"/>
  <c r="J194" i="59"/>
  <c r="I194" i="59"/>
  <c r="J193" i="59"/>
  <c r="I193" i="59"/>
  <c r="J192" i="59"/>
  <c r="I192" i="59"/>
  <c r="J191" i="59"/>
  <c r="I191" i="59"/>
  <c r="J190" i="59"/>
  <c r="I190" i="59"/>
  <c r="J189" i="59"/>
  <c r="I189" i="59"/>
  <c r="J188" i="59"/>
  <c r="I188" i="59"/>
  <c r="J187" i="59"/>
  <c r="I187" i="59"/>
  <c r="J186" i="59"/>
  <c r="I186" i="59"/>
  <c r="J185" i="59"/>
  <c r="I185" i="59"/>
  <c r="J184" i="59"/>
  <c r="I184" i="59"/>
  <c r="J183" i="59"/>
  <c r="I183" i="59"/>
  <c r="J182" i="59"/>
  <c r="I182" i="59"/>
  <c r="J181" i="59"/>
  <c r="I181" i="59"/>
  <c r="J180" i="59"/>
  <c r="I180" i="59"/>
  <c r="J179" i="59"/>
  <c r="I179" i="59"/>
  <c r="J178" i="59"/>
  <c r="I178" i="59"/>
  <c r="J177" i="59"/>
  <c r="I177" i="59"/>
  <c r="J176" i="59"/>
  <c r="I176" i="59"/>
  <c r="J175" i="59"/>
  <c r="I175" i="59"/>
  <c r="J174" i="59"/>
  <c r="I174" i="59"/>
  <c r="J173" i="59"/>
  <c r="I173" i="59"/>
  <c r="J172" i="59"/>
  <c r="I172" i="59"/>
  <c r="J171" i="59"/>
  <c r="I171" i="59"/>
  <c r="J170" i="59"/>
  <c r="I170" i="59"/>
  <c r="J169" i="59"/>
  <c r="I169" i="59"/>
  <c r="J168" i="59"/>
  <c r="I168" i="59"/>
  <c r="J167" i="59"/>
  <c r="I167" i="59"/>
  <c r="J166" i="59"/>
  <c r="I166" i="59"/>
  <c r="J165" i="59"/>
  <c r="I165" i="59"/>
  <c r="J164" i="59"/>
  <c r="I164" i="59"/>
  <c r="J163" i="59"/>
  <c r="I163" i="59"/>
  <c r="J162" i="59"/>
  <c r="I162" i="59"/>
  <c r="J161" i="59"/>
  <c r="I161" i="59"/>
  <c r="J160" i="59"/>
  <c r="I160" i="59"/>
  <c r="J159" i="59"/>
  <c r="I159" i="59"/>
  <c r="J158" i="59"/>
  <c r="I158" i="59"/>
  <c r="J157" i="59"/>
  <c r="I157" i="59"/>
  <c r="J156" i="59"/>
  <c r="I156" i="59"/>
  <c r="J155" i="59"/>
  <c r="I155" i="59"/>
  <c r="J154" i="59"/>
  <c r="I154" i="59"/>
  <c r="J153" i="59"/>
  <c r="I153" i="59"/>
  <c r="J152" i="59"/>
  <c r="I152" i="59"/>
  <c r="J151" i="59"/>
  <c r="I151" i="59"/>
  <c r="J150" i="59"/>
  <c r="I150" i="59"/>
  <c r="J149" i="59"/>
  <c r="I149" i="59"/>
  <c r="J148" i="59"/>
  <c r="I148" i="59"/>
  <c r="J147" i="59"/>
  <c r="I147" i="59"/>
  <c r="J146" i="59"/>
  <c r="I146" i="59"/>
  <c r="J145" i="59"/>
  <c r="I145" i="59"/>
  <c r="J144" i="59"/>
  <c r="I144" i="59"/>
  <c r="J143" i="59"/>
  <c r="I143" i="59"/>
  <c r="J142" i="59"/>
  <c r="I142" i="59"/>
  <c r="J141" i="59"/>
  <c r="I141" i="59"/>
  <c r="J140" i="59"/>
  <c r="I140" i="59"/>
  <c r="J139" i="59"/>
  <c r="I139" i="59"/>
  <c r="J138" i="59"/>
  <c r="I138" i="59"/>
  <c r="J137" i="59"/>
  <c r="I137" i="59"/>
  <c r="J136" i="59"/>
  <c r="I136" i="59"/>
  <c r="J135" i="59"/>
  <c r="I135" i="59"/>
  <c r="J134" i="59"/>
  <c r="I134" i="59"/>
  <c r="J133" i="59"/>
  <c r="I133" i="59"/>
  <c r="J132" i="59"/>
  <c r="I132" i="59"/>
  <c r="J131" i="59"/>
  <c r="I131" i="59"/>
  <c r="J130" i="59"/>
  <c r="I130" i="59"/>
  <c r="J129" i="59"/>
  <c r="I129" i="59"/>
  <c r="J128" i="59"/>
  <c r="I128" i="59"/>
  <c r="J127" i="59"/>
  <c r="I127" i="59"/>
  <c r="J126" i="59"/>
  <c r="I126" i="59"/>
  <c r="J125" i="59"/>
  <c r="I125" i="59"/>
  <c r="J124" i="59"/>
  <c r="I124" i="59"/>
  <c r="J123" i="59"/>
  <c r="I123" i="59"/>
  <c r="J122" i="59"/>
  <c r="I122" i="59"/>
  <c r="J121" i="59"/>
  <c r="I121" i="59"/>
  <c r="J120" i="59"/>
  <c r="I120" i="59"/>
  <c r="J119" i="59"/>
  <c r="I119" i="59"/>
  <c r="J118" i="59"/>
  <c r="I118" i="59"/>
  <c r="J117" i="59"/>
  <c r="I117" i="59"/>
  <c r="J116" i="59"/>
  <c r="I116" i="59"/>
  <c r="J115" i="59"/>
  <c r="I115" i="59"/>
  <c r="J114" i="59"/>
  <c r="I114" i="59"/>
  <c r="J113" i="59"/>
  <c r="I113" i="59"/>
  <c r="J112" i="59"/>
  <c r="I112" i="59"/>
  <c r="J111" i="59"/>
  <c r="I111" i="59"/>
  <c r="J110" i="59"/>
  <c r="I110" i="59"/>
  <c r="J109" i="59"/>
  <c r="I109" i="59"/>
  <c r="J108" i="59"/>
  <c r="I108" i="59"/>
  <c r="J107" i="59"/>
  <c r="I107" i="59"/>
  <c r="J106" i="59"/>
  <c r="I106" i="59"/>
  <c r="J105" i="59"/>
  <c r="I105" i="59"/>
  <c r="J104" i="59"/>
  <c r="I104" i="59"/>
  <c r="J103" i="59"/>
  <c r="I103" i="59"/>
  <c r="J102" i="59"/>
  <c r="I102" i="59"/>
  <c r="J101" i="59"/>
  <c r="I101" i="59"/>
  <c r="J100" i="59"/>
  <c r="I100" i="59"/>
  <c r="J99" i="59"/>
  <c r="I99" i="59"/>
  <c r="J98" i="59"/>
  <c r="I98" i="59"/>
  <c r="J97" i="59"/>
  <c r="I97" i="59"/>
  <c r="J96" i="59"/>
  <c r="I96" i="59"/>
  <c r="J95" i="59"/>
  <c r="I95" i="59"/>
  <c r="J94" i="59"/>
  <c r="I94" i="59"/>
  <c r="J93" i="59"/>
  <c r="I93" i="59"/>
  <c r="J92" i="59"/>
  <c r="I92" i="59"/>
  <c r="J91" i="59"/>
  <c r="I91" i="59"/>
  <c r="J90" i="59"/>
  <c r="I90" i="59"/>
  <c r="J89" i="59"/>
  <c r="I89" i="59"/>
  <c r="J88" i="59"/>
  <c r="I88" i="59"/>
  <c r="J87" i="59"/>
  <c r="I87" i="59"/>
  <c r="J86" i="59"/>
  <c r="I86" i="59"/>
  <c r="J85" i="59"/>
  <c r="I85" i="59"/>
  <c r="J84" i="59"/>
  <c r="I84" i="59"/>
  <c r="J83" i="59"/>
  <c r="I83" i="59"/>
  <c r="J82" i="59"/>
  <c r="I82" i="59"/>
  <c r="J81" i="59"/>
  <c r="I81" i="59"/>
  <c r="J80" i="59"/>
  <c r="I80" i="59"/>
  <c r="J79" i="59"/>
  <c r="I79" i="59"/>
  <c r="J78" i="59"/>
  <c r="I78" i="59"/>
  <c r="J77" i="59"/>
  <c r="I77" i="59"/>
  <c r="J76" i="59"/>
  <c r="I76" i="59"/>
  <c r="J75" i="59"/>
  <c r="I75" i="59"/>
  <c r="J74" i="59"/>
  <c r="I74" i="59"/>
  <c r="J73" i="59"/>
  <c r="I73" i="59"/>
  <c r="J72" i="59"/>
  <c r="I72" i="59"/>
  <c r="J71" i="59"/>
  <c r="I71" i="59"/>
  <c r="J70" i="59"/>
  <c r="I70" i="59"/>
  <c r="J69" i="59"/>
  <c r="I69" i="59"/>
  <c r="J68" i="59"/>
  <c r="I68" i="59"/>
  <c r="J67" i="59"/>
  <c r="I67" i="59"/>
  <c r="J66" i="59"/>
  <c r="I66" i="59"/>
  <c r="J65" i="59"/>
  <c r="I65" i="59"/>
  <c r="J64" i="59"/>
  <c r="I64" i="59"/>
  <c r="J63" i="59"/>
  <c r="I63" i="59"/>
  <c r="J62" i="59"/>
  <c r="I62" i="59"/>
  <c r="J61" i="59"/>
  <c r="I61" i="59"/>
  <c r="J60" i="59"/>
  <c r="I60" i="59"/>
  <c r="J59" i="59"/>
  <c r="I59" i="59"/>
  <c r="J58" i="59"/>
  <c r="I58" i="59"/>
  <c r="J57" i="59"/>
  <c r="I57" i="59"/>
  <c r="J56" i="59"/>
  <c r="I56" i="59"/>
  <c r="J55" i="59"/>
  <c r="I55" i="59"/>
  <c r="J54" i="59"/>
  <c r="I54" i="59"/>
  <c r="J53" i="59"/>
  <c r="I53" i="59"/>
  <c r="J52" i="59"/>
  <c r="I52" i="59"/>
  <c r="J51" i="59"/>
  <c r="I51" i="59"/>
  <c r="J50" i="59"/>
  <c r="I50" i="59"/>
  <c r="J49" i="59"/>
  <c r="I49" i="59"/>
  <c r="J48" i="59"/>
  <c r="I48" i="59"/>
  <c r="J47" i="59"/>
  <c r="I47" i="59"/>
  <c r="G47" i="59"/>
  <c r="G48" i="59" s="1"/>
  <c r="H48" i="59" s="1"/>
  <c r="J46" i="59"/>
  <c r="I46" i="59"/>
  <c r="J45" i="59"/>
  <c r="I45" i="59"/>
  <c r="G45" i="59"/>
  <c r="H45" i="59" s="1"/>
  <c r="J44" i="59"/>
  <c r="I44" i="59"/>
  <c r="J43" i="59"/>
  <c r="I43" i="59"/>
  <c r="J42" i="59"/>
  <c r="I42" i="59"/>
  <c r="J41" i="59"/>
  <c r="I41" i="59"/>
  <c r="J40" i="59"/>
  <c r="I40" i="59"/>
  <c r="J39" i="59"/>
  <c r="I39" i="59"/>
  <c r="J38" i="59"/>
  <c r="I38" i="59"/>
  <c r="J37" i="59"/>
  <c r="I37" i="59"/>
  <c r="J36" i="59"/>
  <c r="I36" i="59"/>
  <c r="G36" i="59"/>
  <c r="G37" i="59" s="1"/>
  <c r="H37" i="59" s="1"/>
  <c r="J35" i="59"/>
  <c r="I35" i="59"/>
  <c r="J34" i="59"/>
  <c r="I34" i="59"/>
  <c r="J33" i="59"/>
  <c r="I33" i="59"/>
  <c r="J32" i="59"/>
  <c r="I32" i="59"/>
  <c r="J31" i="59"/>
  <c r="I31" i="59"/>
  <c r="J30" i="59"/>
  <c r="I30" i="59"/>
  <c r="J29" i="59"/>
  <c r="I29" i="59"/>
  <c r="G29" i="59"/>
  <c r="G30" i="59" s="1"/>
  <c r="J28" i="59"/>
  <c r="I28" i="59"/>
  <c r="G28" i="59"/>
  <c r="H28" i="59" s="1"/>
  <c r="J27" i="59"/>
  <c r="I27" i="59"/>
  <c r="J26" i="59"/>
  <c r="I26" i="59"/>
  <c r="G26" i="59"/>
  <c r="G27" i="59" s="1"/>
  <c r="H27" i="59" s="1"/>
  <c r="J25" i="59"/>
  <c r="I25" i="59"/>
  <c r="J24" i="59"/>
  <c r="I24" i="59"/>
  <c r="J23" i="59"/>
  <c r="I23" i="59"/>
  <c r="J22" i="59"/>
  <c r="I22" i="59"/>
  <c r="J21" i="59"/>
  <c r="I21" i="59"/>
  <c r="G21" i="59"/>
  <c r="H21" i="59" s="1"/>
  <c r="J20" i="59"/>
  <c r="I20" i="59"/>
  <c r="J19" i="59"/>
  <c r="I19" i="59"/>
  <c r="J18" i="59"/>
  <c r="I18" i="59"/>
  <c r="G18" i="59"/>
  <c r="H18" i="59" s="1"/>
  <c r="J17" i="59"/>
  <c r="I17" i="59"/>
  <c r="O16" i="59"/>
  <c r="J16" i="59"/>
  <c r="I16" i="59"/>
  <c r="J15" i="59"/>
  <c r="I15" i="59"/>
  <c r="P14" i="59"/>
  <c r="N14" i="59"/>
  <c r="J14" i="59"/>
  <c r="I14" i="59"/>
  <c r="O13" i="59"/>
  <c r="J13" i="59"/>
  <c r="I13" i="59"/>
  <c r="G13" i="59"/>
  <c r="G14" i="59" s="1"/>
  <c r="H14" i="59" s="1"/>
  <c r="O12" i="59"/>
  <c r="J12" i="59"/>
  <c r="I12" i="59"/>
  <c r="O11" i="59"/>
  <c r="J11" i="59"/>
  <c r="I11" i="59"/>
  <c r="O10" i="59"/>
  <c r="J10" i="59"/>
  <c r="I10" i="59"/>
  <c r="G10" i="59"/>
  <c r="H10" i="59" s="1"/>
  <c r="O9" i="59"/>
  <c r="J9" i="59"/>
  <c r="I9" i="59"/>
  <c r="O8" i="59"/>
  <c r="J8" i="59"/>
  <c r="I8" i="59"/>
  <c r="G8" i="59"/>
  <c r="G9" i="59" s="1"/>
  <c r="H9" i="59" s="1"/>
  <c r="O7" i="59"/>
  <c r="J7" i="59"/>
  <c r="I7" i="59"/>
  <c r="O6" i="59"/>
  <c r="J6" i="59"/>
  <c r="I6" i="59"/>
  <c r="O5" i="59"/>
  <c r="J5" i="59"/>
  <c r="I5" i="59"/>
  <c r="O4" i="59"/>
  <c r="J4" i="59"/>
  <c r="I4" i="59"/>
  <c r="G4" i="59"/>
  <c r="H4" i="59" s="1"/>
  <c r="O3" i="59"/>
  <c r="J3" i="59"/>
  <c r="I3" i="59"/>
  <c r="J2" i="59"/>
  <c r="I2" i="59"/>
  <c r="H2" i="59"/>
  <c r="G2" i="59"/>
  <c r="G3" i="59" s="1"/>
  <c r="H3" i="59" s="1"/>
  <c r="J250" i="58"/>
  <c r="I250" i="58"/>
  <c r="J249" i="58"/>
  <c r="I249" i="58"/>
  <c r="J248" i="58"/>
  <c r="I248" i="58"/>
  <c r="J247" i="58"/>
  <c r="I247" i="58"/>
  <c r="J246" i="58"/>
  <c r="I246" i="58"/>
  <c r="J245" i="58"/>
  <c r="I245" i="58"/>
  <c r="J244" i="58"/>
  <c r="I244" i="58"/>
  <c r="J243" i="58"/>
  <c r="I243" i="58"/>
  <c r="J242" i="58"/>
  <c r="I242" i="58"/>
  <c r="J241" i="58"/>
  <c r="I241" i="58"/>
  <c r="J240" i="58"/>
  <c r="I240" i="58"/>
  <c r="J239" i="58"/>
  <c r="I239" i="58"/>
  <c r="J238" i="58"/>
  <c r="I238" i="58"/>
  <c r="J237" i="58"/>
  <c r="I237" i="58"/>
  <c r="J236" i="58"/>
  <c r="I236" i="58"/>
  <c r="J235" i="58"/>
  <c r="I235" i="58"/>
  <c r="J234" i="58"/>
  <c r="I234" i="58"/>
  <c r="J233" i="58"/>
  <c r="I233" i="58"/>
  <c r="J232" i="58"/>
  <c r="I232" i="58"/>
  <c r="J231" i="58"/>
  <c r="I231" i="58"/>
  <c r="J230" i="58"/>
  <c r="I230" i="58"/>
  <c r="J229" i="58"/>
  <c r="I229" i="58"/>
  <c r="J228" i="58"/>
  <c r="I228" i="58"/>
  <c r="J227" i="58"/>
  <c r="I227" i="58"/>
  <c r="J226" i="58"/>
  <c r="I226" i="58"/>
  <c r="J225" i="58"/>
  <c r="I225" i="58"/>
  <c r="J224" i="58"/>
  <c r="I224" i="58"/>
  <c r="J223" i="58"/>
  <c r="I223" i="58"/>
  <c r="J222" i="58"/>
  <c r="I222" i="58"/>
  <c r="J221" i="58"/>
  <c r="I221" i="58"/>
  <c r="J220" i="58"/>
  <c r="I220" i="58"/>
  <c r="J219" i="58"/>
  <c r="I219" i="58"/>
  <c r="J218" i="58"/>
  <c r="I218" i="58"/>
  <c r="J217" i="58"/>
  <c r="I217" i="58"/>
  <c r="J216" i="58"/>
  <c r="I216" i="58"/>
  <c r="J215" i="58"/>
  <c r="I215" i="58"/>
  <c r="J214" i="58"/>
  <c r="I214" i="58"/>
  <c r="J213" i="58"/>
  <c r="I213" i="58"/>
  <c r="J212" i="58"/>
  <c r="I212" i="58"/>
  <c r="J211" i="58"/>
  <c r="I211" i="58"/>
  <c r="J210" i="58"/>
  <c r="I210" i="58"/>
  <c r="J209" i="58"/>
  <c r="I209" i="58"/>
  <c r="J208" i="58"/>
  <c r="I208" i="58"/>
  <c r="J207" i="58"/>
  <c r="I207" i="58"/>
  <c r="J206" i="58"/>
  <c r="I206" i="58"/>
  <c r="J205" i="58"/>
  <c r="I205" i="58"/>
  <c r="J204" i="58"/>
  <c r="I204" i="58"/>
  <c r="J203" i="58"/>
  <c r="I203" i="58"/>
  <c r="J202" i="58"/>
  <c r="I202" i="58"/>
  <c r="J201" i="58"/>
  <c r="I201" i="58"/>
  <c r="J200" i="58"/>
  <c r="I200" i="58"/>
  <c r="J199" i="58"/>
  <c r="I199" i="58"/>
  <c r="J198" i="58"/>
  <c r="I198" i="58"/>
  <c r="J197" i="58"/>
  <c r="I197" i="58"/>
  <c r="J196" i="58"/>
  <c r="I196" i="58"/>
  <c r="J195" i="58"/>
  <c r="I195" i="58"/>
  <c r="J194" i="58"/>
  <c r="I194" i="58"/>
  <c r="J193" i="58"/>
  <c r="I193" i="58"/>
  <c r="J192" i="58"/>
  <c r="I192" i="58"/>
  <c r="J191" i="58"/>
  <c r="I191" i="58"/>
  <c r="J190" i="58"/>
  <c r="I190" i="58"/>
  <c r="J189" i="58"/>
  <c r="I189" i="58"/>
  <c r="J188" i="58"/>
  <c r="I188" i="58"/>
  <c r="J187" i="58"/>
  <c r="I187" i="58"/>
  <c r="J186" i="58"/>
  <c r="I186" i="58"/>
  <c r="J185" i="58"/>
  <c r="I185" i="58"/>
  <c r="J184" i="58"/>
  <c r="I184" i="58"/>
  <c r="J183" i="58"/>
  <c r="I183" i="58"/>
  <c r="J182" i="58"/>
  <c r="I182" i="58"/>
  <c r="J181" i="58"/>
  <c r="I181" i="58"/>
  <c r="J180" i="58"/>
  <c r="I180" i="58"/>
  <c r="J179" i="58"/>
  <c r="I179" i="58"/>
  <c r="J178" i="58"/>
  <c r="I178" i="58"/>
  <c r="J177" i="58"/>
  <c r="I177" i="58"/>
  <c r="J176" i="58"/>
  <c r="I176" i="58"/>
  <c r="J175" i="58"/>
  <c r="I175" i="58"/>
  <c r="J174" i="58"/>
  <c r="I174" i="58"/>
  <c r="J173" i="58"/>
  <c r="I173" i="58"/>
  <c r="J172" i="58"/>
  <c r="I172" i="58"/>
  <c r="J171" i="58"/>
  <c r="I171" i="58"/>
  <c r="J170" i="58"/>
  <c r="I170" i="58"/>
  <c r="J169" i="58"/>
  <c r="I169" i="58"/>
  <c r="J168" i="58"/>
  <c r="I168" i="58"/>
  <c r="J167" i="58"/>
  <c r="I167" i="58"/>
  <c r="J166" i="58"/>
  <c r="I166" i="58"/>
  <c r="J165" i="58"/>
  <c r="I165" i="58"/>
  <c r="J164" i="58"/>
  <c r="I164" i="58"/>
  <c r="J163" i="58"/>
  <c r="I163" i="58"/>
  <c r="J162" i="58"/>
  <c r="I162" i="58"/>
  <c r="J161" i="58"/>
  <c r="I161" i="58"/>
  <c r="J160" i="58"/>
  <c r="I160" i="58"/>
  <c r="J159" i="58"/>
  <c r="I159" i="58"/>
  <c r="J158" i="58"/>
  <c r="I158" i="58"/>
  <c r="J157" i="58"/>
  <c r="I157" i="58"/>
  <c r="J156" i="58"/>
  <c r="I156" i="58"/>
  <c r="J155" i="58"/>
  <c r="I155" i="58"/>
  <c r="J154" i="58"/>
  <c r="I154" i="58"/>
  <c r="J153" i="58"/>
  <c r="I153" i="58"/>
  <c r="J152" i="58"/>
  <c r="I152" i="58"/>
  <c r="J151" i="58"/>
  <c r="I151" i="58"/>
  <c r="J150" i="58"/>
  <c r="I150" i="58"/>
  <c r="J149" i="58"/>
  <c r="I149" i="58"/>
  <c r="J148" i="58"/>
  <c r="I148" i="58"/>
  <c r="J147" i="58"/>
  <c r="I147" i="58"/>
  <c r="J146" i="58"/>
  <c r="I146" i="58"/>
  <c r="J145" i="58"/>
  <c r="I145" i="58"/>
  <c r="J144" i="58"/>
  <c r="I144" i="58"/>
  <c r="J143" i="58"/>
  <c r="I143" i="58"/>
  <c r="J142" i="58"/>
  <c r="I142" i="58"/>
  <c r="J141" i="58"/>
  <c r="I141" i="58"/>
  <c r="J140" i="58"/>
  <c r="I140" i="58"/>
  <c r="J139" i="58"/>
  <c r="I139" i="58"/>
  <c r="J138" i="58"/>
  <c r="I138" i="58"/>
  <c r="J137" i="58"/>
  <c r="I137" i="58"/>
  <c r="J136" i="58"/>
  <c r="I136" i="58"/>
  <c r="J135" i="58"/>
  <c r="I135" i="58"/>
  <c r="J134" i="58"/>
  <c r="I134" i="58"/>
  <c r="J133" i="58"/>
  <c r="I133" i="58"/>
  <c r="J132" i="58"/>
  <c r="I132" i="58"/>
  <c r="J131" i="58"/>
  <c r="I131" i="58"/>
  <c r="J130" i="58"/>
  <c r="I130" i="58"/>
  <c r="J129" i="58"/>
  <c r="I129" i="58"/>
  <c r="J128" i="58"/>
  <c r="I128" i="58"/>
  <c r="J127" i="58"/>
  <c r="I127" i="58"/>
  <c r="J126" i="58"/>
  <c r="I126" i="58"/>
  <c r="J125" i="58"/>
  <c r="I125" i="58"/>
  <c r="J124" i="58"/>
  <c r="I124" i="58"/>
  <c r="J123" i="58"/>
  <c r="I123" i="58"/>
  <c r="J122" i="58"/>
  <c r="I122" i="58"/>
  <c r="J121" i="58"/>
  <c r="I121" i="58"/>
  <c r="J120" i="58"/>
  <c r="I120" i="58"/>
  <c r="J119" i="58"/>
  <c r="I119" i="58"/>
  <c r="J118" i="58"/>
  <c r="I118" i="58"/>
  <c r="J117" i="58"/>
  <c r="I117" i="58"/>
  <c r="J116" i="58"/>
  <c r="I116" i="58"/>
  <c r="J115" i="58"/>
  <c r="I115" i="58"/>
  <c r="J114" i="58"/>
  <c r="I114" i="58"/>
  <c r="J113" i="58"/>
  <c r="I113" i="58"/>
  <c r="J112" i="58"/>
  <c r="I112" i="58"/>
  <c r="J111" i="58"/>
  <c r="I111" i="58"/>
  <c r="J110" i="58"/>
  <c r="I110" i="58"/>
  <c r="J109" i="58"/>
  <c r="I109" i="58"/>
  <c r="J108" i="58"/>
  <c r="I108" i="58"/>
  <c r="J107" i="58"/>
  <c r="I107" i="58"/>
  <c r="J106" i="58"/>
  <c r="I106" i="58"/>
  <c r="J105" i="58"/>
  <c r="I105" i="58"/>
  <c r="J104" i="58"/>
  <c r="I104" i="58"/>
  <c r="J103" i="58"/>
  <c r="I103" i="58"/>
  <c r="J102" i="58"/>
  <c r="I102" i="58"/>
  <c r="J101" i="58"/>
  <c r="I101" i="58"/>
  <c r="J100" i="58"/>
  <c r="I100" i="58"/>
  <c r="J99" i="58"/>
  <c r="I99" i="58"/>
  <c r="J98" i="58"/>
  <c r="I98" i="58"/>
  <c r="J97" i="58"/>
  <c r="I97" i="58"/>
  <c r="J96" i="58"/>
  <c r="I96" i="58"/>
  <c r="J95" i="58"/>
  <c r="I95" i="58"/>
  <c r="J94" i="58"/>
  <c r="I94" i="58"/>
  <c r="J93" i="58"/>
  <c r="I93" i="58"/>
  <c r="J92" i="58"/>
  <c r="I92" i="58"/>
  <c r="J91" i="58"/>
  <c r="I91" i="58"/>
  <c r="J90" i="58"/>
  <c r="I90" i="58"/>
  <c r="J89" i="58"/>
  <c r="I89" i="58"/>
  <c r="J88" i="58"/>
  <c r="I88" i="58"/>
  <c r="J87" i="58"/>
  <c r="I87" i="58"/>
  <c r="J86" i="58"/>
  <c r="I86" i="58"/>
  <c r="J85" i="58"/>
  <c r="I85" i="58"/>
  <c r="J84" i="58"/>
  <c r="I84" i="58"/>
  <c r="J83" i="58"/>
  <c r="I83" i="58"/>
  <c r="J82" i="58"/>
  <c r="I82" i="58"/>
  <c r="J81" i="58"/>
  <c r="I81" i="58"/>
  <c r="J80" i="58"/>
  <c r="I80" i="58"/>
  <c r="J79" i="58"/>
  <c r="I79" i="58"/>
  <c r="J78" i="58"/>
  <c r="I78" i="58"/>
  <c r="J77" i="58"/>
  <c r="I77" i="58"/>
  <c r="J76" i="58"/>
  <c r="I76" i="58"/>
  <c r="J75" i="58"/>
  <c r="I75" i="58"/>
  <c r="J74" i="58"/>
  <c r="I74" i="58"/>
  <c r="J73" i="58"/>
  <c r="I73" i="58"/>
  <c r="J72" i="58"/>
  <c r="I72" i="58"/>
  <c r="J71" i="58"/>
  <c r="I71" i="58"/>
  <c r="J70" i="58"/>
  <c r="I70" i="58"/>
  <c r="J69" i="58"/>
  <c r="I69" i="58"/>
  <c r="J68" i="58"/>
  <c r="I68" i="58"/>
  <c r="J67" i="58"/>
  <c r="I67" i="58"/>
  <c r="J66" i="58"/>
  <c r="I66" i="58"/>
  <c r="J65" i="58"/>
  <c r="I65" i="58"/>
  <c r="J64" i="58"/>
  <c r="I64" i="58"/>
  <c r="J63" i="58"/>
  <c r="I63" i="58"/>
  <c r="J62" i="58"/>
  <c r="I62" i="58"/>
  <c r="J61" i="58"/>
  <c r="I61" i="58"/>
  <c r="J60" i="58"/>
  <c r="I60" i="58"/>
  <c r="J59" i="58"/>
  <c r="I59" i="58"/>
  <c r="J58" i="58"/>
  <c r="I58" i="58"/>
  <c r="J57" i="58"/>
  <c r="I57" i="58"/>
  <c r="J56" i="58"/>
  <c r="I56" i="58"/>
  <c r="J55" i="58"/>
  <c r="I55" i="58"/>
  <c r="J54" i="58"/>
  <c r="I54" i="58"/>
  <c r="J53" i="58"/>
  <c r="I53" i="58"/>
  <c r="J52" i="58"/>
  <c r="I52" i="58"/>
  <c r="J51" i="58"/>
  <c r="I51" i="58"/>
  <c r="J50" i="58"/>
  <c r="I50" i="58"/>
  <c r="G50" i="58"/>
  <c r="G51" i="58" s="1"/>
  <c r="H51" i="58" s="1"/>
  <c r="J49" i="58"/>
  <c r="I49" i="58"/>
  <c r="G49" i="58"/>
  <c r="H49" i="58" s="1"/>
  <c r="J48" i="58"/>
  <c r="I48" i="58"/>
  <c r="J47" i="58"/>
  <c r="I47" i="58"/>
  <c r="G47" i="58"/>
  <c r="H47" i="58" s="1"/>
  <c r="J46" i="58"/>
  <c r="I46" i="58"/>
  <c r="J45" i="58"/>
  <c r="I45" i="58"/>
  <c r="G45" i="58"/>
  <c r="G46" i="58" s="1"/>
  <c r="H46" i="58" s="1"/>
  <c r="J44" i="58"/>
  <c r="I44" i="58"/>
  <c r="J43" i="58"/>
  <c r="I43" i="58"/>
  <c r="G43" i="58"/>
  <c r="G44" i="58" s="1"/>
  <c r="H44" i="58" s="1"/>
  <c r="J42" i="58"/>
  <c r="I42" i="58"/>
  <c r="J41" i="58"/>
  <c r="I41" i="58"/>
  <c r="G41" i="58"/>
  <c r="H41" i="58" s="1"/>
  <c r="J40" i="58"/>
  <c r="I40" i="58"/>
  <c r="J39" i="58"/>
  <c r="I39" i="58"/>
  <c r="G39" i="58"/>
  <c r="H39" i="58" s="1"/>
  <c r="J38" i="58"/>
  <c r="I38" i="58"/>
  <c r="G38" i="58"/>
  <c r="H38" i="58" s="1"/>
  <c r="J37" i="58"/>
  <c r="I37" i="58"/>
  <c r="J36" i="58"/>
  <c r="I36" i="58"/>
  <c r="G36" i="58"/>
  <c r="H36" i="58" s="1"/>
  <c r="J35" i="58"/>
  <c r="I35" i="58"/>
  <c r="G35" i="58"/>
  <c r="H35" i="58" s="1"/>
  <c r="J34" i="58"/>
  <c r="I34" i="58"/>
  <c r="J33" i="58"/>
  <c r="I33" i="58"/>
  <c r="G33" i="58"/>
  <c r="G34" i="58" s="1"/>
  <c r="H34" i="58" s="1"/>
  <c r="J32" i="58"/>
  <c r="I32" i="58"/>
  <c r="J31" i="58"/>
  <c r="I31" i="58"/>
  <c r="J30" i="58"/>
  <c r="I30" i="58"/>
  <c r="J29" i="58"/>
  <c r="I29" i="58"/>
  <c r="G29" i="58"/>
  <c r="H29" i="58" s="1"/>
  <c r="J28" i="58"/>
  <c r="I28" i="58"/>
  <c r="G28" i="58"/>
  <c r="H28" i="58" s="1"/>
  <c r="J27" i="58"/>
  <c r="I27" i="58"/>
  <c r="J26" i="58"/>
  <c r="I26" i="58"/>
  <c r="G26" i="58"/>
  <c r="G27" i="58" s="1"/>
  <c r="H27" i="58" s="1"/>
  <c r="J25" i="58"/>
  <c r="I25" i="58"/>
  <c r="J24" i="58"/>
  <c r="I24" i="58"/>
  <c r="J23" i="58"/>
  <c r="I23" i="58"/>
  <c r="J22" i="58"/>
  <c r="I22" i="58"/>
  <c r="G22" i="58"/>
  <c r="G23" i="58" s="1"/>
  <c r="G24" i="58" s="1"/>
  <c r="J21" i="58"/>
  <c r="I21" i="58"/>
  <c r="G21" i="58"/>
  <c r="H21" i="58" s="1"/>
  <c r="J20" i="58"/>
  <c r="I20" i="58"/>
  <c r="G20" i="58"/>
  <c r="H20" i="58" s="1"/>
  <c r="J19" i="58"/>
  <c r="I19" i="58"/>
  <c r="G19" i="58"/>
  <c r="H19" i="58" s="1"/>
  <c r="J18" i="58"/>
  <c r="I18" i="58"/>
  <c r="G18" i="58"/>
  <c r="H18" i="58" s="1"/>
  <c r="J17" i="58"/>
  <c r="I17" i="58"/>
  <c r="G17" i="58"/>
  <c r="H17" i="58" s="1"/>
  <c r="O16" i="58"/>
  <c r="J16" i="58"/>
  <c r="I16" i="58"/>
  <c r="J15" i="58"/>
  <c r="I15" i="58"/>
  <c r="G15" i="58"/>
  <c r="H15" i="58" s="1"/>
  <c r="P14" i="58"/>
  <c r="N14" i="58"/>
  <c r="J14" i="58"/>
  <c r="I14" i="58"/>
  <c r="O13" i="58"/>
  <c r="J13" i="58"/>
  <c r="I13" i="58"/>
  <c r="G13" i="58"/>
  <c r="G14" i="58" s="1"/>
  <c r="H14" i="58" s="1"/>
  <c r="O12" i="58"/>
  <c r="J12" i="58"/>
  <c r="I12" i="58"/>
  <c r="O11" i="58"/>
  <c r="J11" i="58"/>
  <c r="I11" i="58"/>
  <c r="G11" i="58"/>
  <c r="H11" i="58" s="1"/>
  <c r="O10" i="58"/>
  <c r="J10" i="58"/>
  <c r="I10" i="58"/>
  <c r="G10" i="58"/>
  <c r="H10" i="58" s="1"/>
  <c r="O9" i="58"/>
  <c r="J9" i="58"/>
  <c r="I9" i="58"/>
  <c r="O8" i="58"/>
  <c r="J8" i="58"/>
  <c r="I8" i="58"/>
  <c r="G8" i="58"/>
  <c r="G9" i="58" s="1"/>
  <c r="H9" i="58" s="1"/>
  <c r="O7" i="58"/>
  <c r="J7" i="58"/>
  <c r="I7" i="58"/>
  <c r="O6" i="58"/>
  <c r="J6" i="58"/>
  <c r="I6" i="58"/>
  <c r="G6" i="58"/>
  <c r="G7" i="58" s="1"/>
  <c r="H7" i="58" s="1"/>
  <c r="O5" i="58"/>
  <c r="J5" i="58"/>
  <c r="I5" i="58"/>
  <c r="O4" i="58"/>
  <c r="J4" i="58"/>
  <c r="I4" i="58"/>
  <c r="G4" i="58"/>
  <c r="H4" i="58" s="1"/>
  <c r="O3" i="58"/>
  <c r="J3" i="58"/>
  <c r="I3" i="58"/>
  <c r="J2" i="58"/>
  <c r="I2" i="58"/>
  <c r="H2" i="58"/>
  <c r="G2" i="58"/>
  <c r="G3" i="58" s="1"/>
  <c r="H3" i="58" s="1"/>
  <c r="J250" i="57"/>
  <c r="I250" i="57"/>
  <c r="J249" i="57"/>
  <c r="I249" i="57"/>
  <c r="J248" i="57"/>
  <c r="I248" i="57"/>
  <c r="J247" i="57"/>
  <c r="I247" i="57"/>
  <c r="J246" i="57"/>
  <c r="I246" i="57"/>
  <c r="J245" i="57"/>
  <c r="I245" i="57"/>
  <c r="J244" i="57"/>
  <c r="I244" i="57"/>
  <c r="J243" i="57"/>
  <c r="I243" i="57"/>
  <c r="J242" i="57"/>
  <c r="I242" i="57"/>
  <c r="J241" i="57"/>
  <c r="I241" i="57"/>
  <c r="J240" i="57"/>
  <c r="I240" i="57"/>
  <c r="J239" i="57"/>
  <c r="I239" i="57"/>
  <c r="J238" i="57"/>
  <c r="I238" i="57"/>
  <c r="J237" i="57"/>
  <c r="I237" i="57"/>
  <c r="J236" i="57"/>
  <c r="I236" i="57"/>
  <c r="J235" i="57"/>
  <c r="I235" i="57"/>
  <c r="J234" i="57"/>
  <c r="I234" i="57"/>
  <c r="J233" i="57"/>
  <c r="I233" i="57"/>
  <c r="J232" i="57"/>
  <c r="I232" i="57"/>
  <c r="J231" i="57"/>
  <c r="I231" i="57"/>
  <c r="J230" i="57"/>
  <c r="I230" i="57"/>
  <c r="J229" i="57"/>
  <c r="I229" i="57"/>
  <c r="J228" i="57"/>
  <c r="I228" i="57"/>
  <c r="J227" i="57"/>
  <c r="I227" i="57"/>
  <c r="J226" i="57"/>
  <c r="I226" i="57"/>
  <c r="J225" i="57"/>
  <c r="I225" i="57"/>
  <c r="J224" i="57"/>
  <c r="I224" i="57"/>
  <c r="J223" i="57"/>
  <c r="I223" i="57"/>
  <c r="J222" i="57"/>
  <c r="I222" i="57"/>
  <c r="J221" i="57"/>
  <c r="I221" i="57"/>
  <c r="J220" i="57"/>
  <c r="I220" i="57"/>
  <c r="J219" i="57"/>
  <c r="I219" i="57"/>
  <c r="J218" i="57"/>
  <c r="I218" i="57"/>
  <c r="J217" i="57"/>
  <c r="I217" i="57"/>
  <c r="J216" i="57"/>
  <c r="I216" i="57"/>
  <c r="J215" i="57"/>
  <c r="I215" i="57"/>
  <c r="J214" i="57"/>
  <c r="I214" i="57"/>
  <c r="J213" i="57"/>
  <c r="I213" i="57"/>
  <c r="J212" i="57"/>
  <c r="I212" i="57"/>
  <c r="J211" i="57"/>
  <c r="I211" i="57"/>
  <c r="J210" i="57"/>
  <c r="I210" i="57"/>
  <c r="J209" i="57"/>
  <c r="I209" i="57"/>
  <c r="J208" i="57"/>
  <c r="I208" i="57"/>
  <c r="J207" i="57"/>
  <c r="I207" i="57"/>
  <c r="J206" i="57"/>
  <c r="I206" i="57"/>
  <c r="J205" i="57"/>
  <c r="I205" i="57"/>
  <c r="J204" i="57"/>
  <c r="I204" i="57"/>
  <c r="J203" i="57"/>
  <c r="I203" i="57"/>
  <c r="J202" i="57"/>
  <c r="I202" i="57"/>
  <c r="J201" i="57"/>
  <c r="I201" i="57"/>
  <c r="J200" i="57"/>
  <c r="I200" i="57"/>
  <c r="J199" i="57"/>
  <c r="I199" i="57"/>
  <c r="J198" i="57"/>
  <c r="I198" i="57"/>
  <c r="J197" i="57"/>
  <c r="I197" i="57"/>
  <c r="J196" i="57"/>
  <c r="I196" i="57"/>
  <c r="J195" i="57"/>
  <c r="I195" i="57"/>
  <c r="J194" i="57"/>
  <c r="I194" i="57"/>
  <c r="J193" i="57"/>
  <c r="I193" i="57"/>
  <c r="J192" i="57"/>
  <c r="I192" i="57"/>
  <c r="J191" i="57"/>
  <c r="I191" i="57"/>
  <c r="J190" i="57"/>
  <c r="I190" i="57"/>
  <c r="J189" i="57"/>
  <c r="I189" i="57"/>
  <c r="J188" i="57"/>
  <c r="I188" i="57"/>
  <c r="J187" i="57"/>
  <c r="I187" i="57"/>
  <c r="J186" i="57"/>
  <c r="I186" i="57"/>
  <c r="J185" i="57"/>
  <c r="I185" i="57"/>
  <c r="J184" i="57"/>
  <c r="I184" i="57"/>
  <c r="J183" i="57"/>
  <c r="I183" i="57"/>
  <c r="J182" i="57"/>
  <c r="I182" i="57"/>
  <c r="J181" i="57"/>
  <c r="I181" i="57"/>
  <c r="J180" i="57"/>
  <c r="I180" i="57"/>
  <c r="J179" i="57"/>
  <c r="I179" i="57"/>
  <c r="J178" i="57"/>
  <c r="I178" i="57"/>
  <c r="J177" i="57"/>
  <c r="I177" i="57"/>
  <c r="J176" i="57"/>
  <c r="I176" i="57"/>
  <c r="J175" i="57"/>
  <c r="I175" i="57"/>
  <c r="J174" i="57"/>
  <c r="I174" i="57"/>
  <c r="J173" i="57"/>
  <c r="I173" i="57"/>
  <c r="J172" i="57"/>
  <c r="I172" i="57"/>
  <c r="J171" i="57"/>
  <c r="I171" i="57"/>
  <c r="J170" i="57"/>
  <c r="I170" i="57"/>
  <c r="J169" i="57"/>
  <c r="I169" i="57"/>
  <c r="J168" i="57"/>
  <c r="I168" i="57"/>
  <c r="J167" i="57"/>
  <c r="I167" i="57"/>
  <c r="J166" i="57"/>
  <c r="I166" i="57"/>
  <c r="J165" i="57"/>
  <c r="I165" i="57"/>
  <c r="J164" i="57"/>
  <c r="I164" i="57"/>
  <c r="J163" i="57"/>
  <c r="I163" i="57"/>
  <c r="J162" i="57"/>
  <c r="I162" i="57"/>
  <c r="J161" i="57"/>
  <c r="I161" i="57"/>
  <c r="J160" i="57"/>
  <c r="I160" i="57"/>
  <c r="J159" i="57"/>
  <c r="I159" i="57"/>
  <c r="J158" i="57"/>
  <c r="I158" i="57"/>
  <c r="J157" i="57"/>
  <c r="I157" i="57"/>
  <c r="J156" i="57"/>
  <c r="I156" i="57"/>
  <c r="J155" i="57"/>
  <c r="I155" i="57"/>
  <c r="J154" i="57"/>
  <c r="I154" i="57"/>
  <c r="J153" i="57"/>
  <c r="I153" i="57"/>
  <c r="J152" i="57"/>
  <c r="I152" i="57"/>
  <c r="J151" i="57"/>
  <c r="I151" i="57"/>
  <c r="J150" i="57"/>
  <c r="I150" i="57"/>
  <c r="J149" i="57"/>
  <c r="I149" i="57"/>
  <c r="J148" i="57"/>
  <c r="I148" i="57"/>
  <c r="J147" i="57"/>
  <c r="I147" i="57"/>
  <c r="J146" i="57"/>
  <c r="I146" i="57"/>
  <c r="J145" i="57"/>
  <c r="I145" i="57"/>
  <c r="J144" i="57"/>
  <c r="I144" i="57"/>
  <c r="J143" i="57"/>
  <c r="I143" i="57"/>
  <c r="J142" i="57"/>
  <c r="I142" i="57"/>
  <c r="J141" i="57"/>
  <c r="I141" i="57"/>
  <c r="J140" i="57"/>
  <c r="I140" i="57"/>
  <c r="J139" i="57"/>
  <c r="I139" i="57"/>
  <c r="J138" i="57"/>
  <c r="I138" i="57"/>
  <c r="J137" i="57"/>
  <c r="I137" i="57"/>
  <c r="J136" i="57"/>
  <c r="I136" i="57"/>
  <c r="J135" i="57"/>
  <c r="I135" i="57"/>
  <c r="J134" i="57"/>
  <c r="I134" i="57"/>
  <c r="J133" i="57"/>
  <c r="I133" i="57"/>
  <c r="J132" i="57"/>
  <c r="I132" i="57"/>
  <c r="J131" i="57"/>
  <c r="I131" i="57"/>
  <c r="J130" i="57"/>
  <c r="I130" i="57"/>
  <c r="J129" i="57"/>
  <c r="I129" i="57"/>
  <c r="J128" i="57"/>
  <c r="I128" i="57"/>
  <c r="J127" i="57"/>
  <c r="I127" i="57"/>
  <c r="J126" i="57"/>
  <c r="I126" i="57"/>
  <c r="J125" i="57"/>
  <c r="I125" i="57"/>
  <c r="J124" i="57"/>
  <c r="I124" i="57"/>
  <c r="J123" i="57"/>
  <c r="I123" i="57"/>
  <c r="J122" i="57"/>
  <c r="I122" i="57"/>
  <c r="J121" i="57"/>
  <c r="I121" i="57"/>
  <c r="J120" i="57"/>
  <c r="I120" i="57"/>
  <c r="J119" i="57"/>
  <c r="I119" i="57"/>
  <c r="J118" i="57"/>
  <c r="I118" i="57"/>
  <c r="J117" i="57"/>
  <c r="I117" i="57"/>
  <c r="J116" i="57"/>
  <c r="I116" i="57"/>
  <c r="J115" i="57"/>
  <c r="I115" i="57"/>
  <c r="J114" i="57"/>
  <c r="I114" i="57"/>
  <c r="J113" i="57"/>
  <c r="I113" i="57"/>
  <c r="J112" i="57"/>
  <c r="I112" i="57"/>
  <c r="J111" i="57"/>
  <c r="I111" i="57"/>
  <c r="J110" i="57"/>
  <c r="I110" i="57"/>
  <c r="J109" i="57"/>
  <c r="I109" i="57"/>
  <c r="J108" i="57"/>
  <c r="I108" i="57"/>
  <c r="J107" i="57"/>
  <c r="I107" i="57"/>
  <c r="J106" i="57"/>
  <c r="I106" i="57"/>
  <c r="J105" i="57"/>
  <c r="I105" i="57"/>
  <c r="J104" i="57"/>
  <c r="I104" i="57"/>
  <c r="J103" i="57"/>
  <c r="I103" i="57"/>
  <c r="J102" i="57"/>
  <c r="I102" i="57"/>
  <c r="J101" i="57"/>
  <c r="I101" i="57"/>
  <c r="J100" i="57"/>
  <c r="I100" i="57"/>
  <c r="J99" i="57"/>
  <c r="I99" i="57"/>
  <c r="J98" i="57"/>
  <c r="I98" i="57"/>
  <c r="J97" i="57"/>
  <c r="I97" i="57"/>
  <c r="J96" i="57"/>
  <c r="I96" i="57"/>
  <c r="J95" i="57"/>
  <c r="I95" i="57"/>
  <c r="J94" i="57"/>
  <c r="I94" i="57"/>
  <c r="J93" i="57"/>
  <c r="I93" i="57"/>
  <c r="J92" i="57"/>
  <c r="I92" i="57"/>
  <c r="J91" i="57"/>
  <c r="I91" i="57"/>
  <c r="J90" i="57"/>
  <c r="I90" i="57"/>
  <c r="J89" i="57"/>
  <c r="I89" i="57"/>
  <c r="J88" i="57"/>
  <c r="I88" i="57"/>
  <c r="J87" i="57"/>
  <c r="I87" i="57"/>
  <c r="J86" i="57"/>
  <c r="I86" i="57"/>
  <c r="J85" i="57"/>
  <c r="I85" i="57"/>
  <c r="J84" i="57"/>
  <c r="I84" i="57"/>
  <c r="J83" i="57"/>
  <c r="I83" i="57"/>
  <c r="J82" i="57"/>
  <c r="I82" i="57"/>
  <c r="J81" i="57"/>
  <c r="I81" i="57"/>
  <c r="J80" i="57"/>
  <c r="I80" i="57"/>
  <c r="J79" i="57"/>
  <c r="I79" i="57"/>
  <c r="J78" i="57"/>
  <c r="I78" i="57"/>
  <c r="J77" i="57"/>
  <c r="I77" i="57"/>
  <c r="J76" i="57"/>
  <c r="I76" i="57"/>
  <c r="J75" i="57"/>
  <c r="I75" i="57"/>
  <c r="J74" i="57"/>
  <c r="I74" i="57"/>
  <c r="J73" i="57"/>
  <c r="I73" i="57"/>
  <c r="J72" i="57"/>
  <c r="I72" i="57"/>
  <c r="J71" i="57"/>
  <c r="I71" i="57"/>
  <c r="J70" i="57"/>
  <c r="I70" i="57"/>
  <c r="J69" i="57"/>
  <c r="I69" i="57"/>
  <c r="J68" i="57"/>
  <c r="I68" i="57"/>
  <c r="J67" i="57"/>
  <c r="I67" i="57"/>
  <c r="J66" i="57"/>
  <c r="I66" i="57"/>
  <c r="J65" i="57"/>
  <c r="I65" i="57"/>
  <c r="J64" i="57"/>
  <c r="I64" i="57"/>
  <c r="J63" i="57"/>
  <c r="I63" i="57"/>
  <c r="J62" i="57"/>
  <c r="I62" i="57"/>
  <c r="J61" i="57"/>
  <c r="I61" i="57"/>
  <c r="J60" i="57"/>
  <c r="I60" i="57"/>
  <c r="J59" i="57"/>
  <c r="I59" i="57"/>
  <c r="J58" i="57"/>
  <c r="I58" i="57"/>
  <c r="J57" i="57"/>
  <c r="I57" i="57"/>
  <c r="J56" i="57"/>
  <c r="I56" i="57"/>
  <c r="J55" i="57"/>
  <c r="I55" i="57"/>
  <c r="J54" i="57"/>
  <c r="I54" i="57"/>
  <c r="J53" i="57"/>
  <c r="I53" i="57"/>
  <c r="J52" i="57"/>
  <c r="I52" i="57"/>
  <c r="J51" i="57"/>
  <c r="I51" i="57"/>
  <c r="J50" i="57"/>
  <c r="I50" i="57"/>
  <c r="G50" i="57"/>
  <c r="G51" i="57" s="1"/>
  <c r="G52" i="57" s="1"/>
  <c r="H52" i="57" s="1"/>
  <c r="J49" i="57"/>
  <c r="I49" i="57"/>
  <c r="G49" i="57"/>
  <c r="H49" i="57" s="1"/>
  <c r="J48" i="57"/>
  <c r="I48" i="57"/>
  <c r="J47" i="57"/>
  <c r="I47" i="57"/>
  <c r="G47" i="57"/>
  <c r="H47" i="57" s="1"/>
  <c r="J46" i="57"/>
  <c r="I46" i="57"/>
  <c r="J45" i="57"/>
  <c r="I45" i="57"/>
  <c r="G45" i="57"/>
  <c r="H45" i="57" s="1"/>
  <c r="J44" i="57"/>
  <c r="I44" i="57"/>
  <c r="J43" i="57"/>
  <c r="I43" i="57"/>
  <c r="G43" i="57"/>
  <c r="G44" i="57" s="1"/>
  <c r="H44" i="57" s="1"/>
  <c r="J42" i="57"/>
  <c r="I42" i="57"/>
  <c r="J41" i="57"/>
  <c r="I41" i="57"/>
  <c r="G41" i="57"/>
  <c r="H41" i="57" s="1"/>
  <c r="J40" i="57"/>
  <c r="I40" i="57"/>
  <c r="J39" i="57"/>
  <c r="I39" i="57"/>
  <c r="G39" i="57"/>
  <c r="G40" i="57" s="1"/>
  <c r="H40" i="57" s="1"/>
  <c r="J38" i="57"/>
  <c r="I38" i="57"/>
  <c r="G38" i="57"/>
  <c r="H38" i="57" s="1"/>
  <c r="J37" i="57"/>
  <c r="I37" i="57"/>
  <c r="J36" i="57"/>
  <c r="I36" i="57"/>
  <c r="G36" i="57"/>
  <c r="H36" i="57" s="1"/>
  <c r="J35" i="57"/>
  <c r="I35" i="57"/>
  <c r="G35" i="57"/>
  <c r="H35" i="57" s="1"/>
  <c r="J34" i="57"/>
  <c r="I34" i="57"/>
  <c r="J33" i="57"/>
  <c r="I33" i="57"/>
  <c r="G33" i="57"/>
  <c r="H33" i="57" s="1"/>
  <c r="J32" i="57"/>
  <c r="I32" i="57"/>
  <c r="J31" i="57"/>
  <c r="I31" i="57"/>
  <c r="J30" i="57"/>
  <c r="I30" i="57"/>
  <c r="J29" i="57"/>
  <c r="I29" i="57"/>
  <c r="G29" i="57"/>
  <c r="G30" i="57" s="1"/>
  <c r="H30" i="57" s="1"/>
  <c r="J28" i="57"/>
  <c r="I28" i="57"/>
  <c r="G28" i="57"/>
  <c r="H28" i="57" s="1"/>
  <c r="J27" i="57"/>
  <c r="I27" i="57"/>
  <c r="J26" i="57"/>
  <c r="I26" i="57"/>
  <c r="G26" i="57"/>
  <c r="H26" i="57" s="1"/>
  <c r="J25" i="57"/>
  <c r="I25" i="57"/>
  <c r="J24" i="57"/>
  <c r="I24" i="57"/>
  <c r="J23" i="57"/>
  <c r="I23" i="57"/>
  <c r="J22" i="57"/>
  <c r="I22" i="57"/>
  <c r="G22" i="57"/>
  <c r="H22" i="57" s="1"/>
  <c r="J21" i="57"/>
  <c r="I21" i="57"/>
  <c r="G21" i="57"/>
  <c r="H21" i="57" s="1"/>
  <c r="J20" i="57"/>
  <c r="I20" i="57"/>
  <c r="G20" i="57"/>
  <c r="H20" i="57" s="1"/>
  <c r="J19" i="57"/>
  <c r="I19" i="57"/>
  <c r="G19" i="57"/>
  <c r="H19" i="57" s="1"/>
  <c r="J18" i="57"/>
  <c r="I18" i="57"/>
  <c r="G18" i="57"/>
  <c r="H18" i="57" s="1"/>
  <c r="J17" i="57"/>
  <c r="I17" i="57"/>
  <c r="G17" i="57"/>
  <c r="H17" i="57" s="1"/>
  <c r="O16" i="57"/>
  <c r="J16" i="57"/>
  <c r="I16" i="57"/>
  <c r="J15" i="57"/>
  <c r="I15" i="57"/>
  <c r="G15" i="57"/>
  <c r="G16" i="57" s="1"/>
  <c r="H16" i="57" s="1"/>
  <c r="P14" i="57"/>
  <c r="N14" i="57"/>
  <c r="J14" i="57"/>
  <c r="I14" i="57"/>
  <c r="O13" i="57"/>
  <c r="J13" i="57"/>
  <c r="I13" i="57"/>
  <c r="G13" i="57"/>
  <c r="G14" i="57" s="1"/>
  <c r="H14" i="57" s="1"/>
  <c r="O12" i="57"/>
  <c r="J12" i="57"/>
  <c r="I12" i="57"/>
  <c r="O11" i="57"/>
  <c r="J11" i="57"/>
  <c r="I11" i="57"/>
  <c r="G11" i="57"/>
  <c r="H11" i="57" s="1"/>
  <c r="O10" i="57"/>
  <c r="J10" i="57"/>
  <c r="I10" i="57"/>
  <c r="G10" i="57"/>
  <c r="H10" i="57" s="1"/>
  <c r="O9" i="57"/>
  <c r="J9" i="57"/>
  <c r="I9" i="57"/>
  <c r="O8" i="57"/>
  <c r="J8" i="57"/>
  <c r="I8" i="57"/>
  <c r="G8" i="57"/>
  <c r="G9" i="57" s="1"/>
  <c r="H9" i="57" s="1"/>
  <c r="O7" i="57"/>
  <c r="J7" i="57"/>
  <c r="I7" i="57"/>
  <c r="O6" i="57"/>
  <c r="J6" i="57"/>
  <c r="I6" i="57"/>
  <c r="G6" i="57"/>
  <c r="H6" i="57" s="1"/>
  <c r="O5" i="57"/>
  <c r="J5" i="57"/>
  <c r="I5" i="57"/>
  <c r="O4" i="57"/>
  <c r="J4" i="57"/>
  <c r="I4" i="57"/>
  <c r="G4" i="57"/>
  <c r="H4" i="57" s="1"/>
  <c r="O3" i="57"/>
  <c r="J3" i="57"/>
  <c r="I3" i="57"/>
  <c r="J2" i="57"/>
  <c r="I2" i="57"/>
  <c r="H2" i="57"/>
  <c r="G2" i="57"/>
  <c r="G3" i="57" s="1"/>
  <c r="H3" i="57" s="1"/>
  <c r="J250" i="56"/>
  <c r="I250" i="56"/>
  <c r="J249" i="56"/>
  <c r="I249" i="56"/>
  <c r="J248" i="56"/>
  <c r="I248" i="56"/>
  <c r="J247" i="56"/>
  <c r="I247" i="56"/>
  <c r="J246" i="56"/>
  <c r="I246" i="56"/>
  <c r="J245" i="56"/>
  <c r="I245" i="56"/>
  <c r="J244" i="56"/>
  <c r="I244" i="56"/>
  <c r="J243" i="56"/>
  <c r="I243" i="56"/>
  <c r="J242" i="56"/>
  <c r="I242" i="56"/>
  <c r="J241" i="56"/>
  <c r="I241" i="56"/>
  <c r="J240" i="56"/>
  <c r="I240" i="56"/>
  <c r="J239" i="56"/>
  <c r="I239" i="56"/>
  <c r="J238" i="56"/>
  <c r="I238" i="56"/>
  <c r="J237" i="56"/>
  <c r="I237" i="56"/>
  <c r="J236" i="56"/>
  <c r="I236" i="56"/>
  <c r="J235" i="56"/>
  <c r="I235" i="56"/>
  <c r="J234" i="56"/>
  <c r="I234" i="56"/>
  <c r="J233" i="56"/>
  <c r="I233" i="56"/>
  <c r="J232" i="56"/>
  <c r="I232" i="56"/>
  <c r="J231" i="56"/>
  <c r="I231" i="56"/>
  <c r="J230" i="56"/>
  <c r="I230" i="56"/>
  <c r="J229" i="56"/>
  <c r="I229" i="56"/>
  <c r="J228" i="56"/>
  <c r="I228" i="56"/>
  <c r="J227" i="56"/>
  <c r="I227" i="56"/>
  <c r="J226" i="56"/>
  <c r="I226" i="56"/>
  <c r="J225" i="56"/>
  <c r="I225" i="56"/>
  <c r="J224" i="56"/>
  <c r="I224" i="56"/>
  <c r="J223" i="56"/>
  <c r="I223" i="56"/>
  <c r="J222" i="56"/>
  <c r="I222" i="56"/>
  <c r="J221" i="56"/>
  <c r="I221" i="56"/>
  <c r="J220" i="56"/>
  <c r="I220" i="56"/>
  <c r="J219" i="56"/>
  <c r="I219" i="56"/>
  <c r="J218" i="56"/>
  <c r="I218" i="56"/>
  <c r="J217" i="56"/>
  <c r="I217" i="56"/>
  <c r="J216" i="56"/>
  <c r="I216" i="56"/>
  <c r="J215" i="56"/>
  <c r="I215" i="56"/>
  <c r="J214" i="56"/>
  <c r="I214" i="56"/>
  <c r="J213" i="56"/>
  <c r="I213" i="56"/>
  <c r="J212" i="56"/>
  <c r="I212" i="56"/>
  <c r="J211" i="56"/>
  <c r="I211" i="56"/>
  <c r="J210" i="56"/>
  <c r="I210" i="56"/>
  <c r="J209" i="56"/>
  <c r="I209" i="56"/>
  <c r="J208" i="56"/>
  <c r="I208" i="56"/>
  <c r="J207" i="56"/>
  <c r="I207" i="56"/>
  <c r="J206" i="56"/>
  <c r="I206" i="56"/>
  <c r="J205" i="56"/>
  <c r="I205" i="56"/>
  <c r="J204" i="56"/>
  <c r="I204" i="56"/>
  <c r="J203" i="56"/>
  <c r="I203" i="56"/>
  <c r="J202" i="56"/>
  <c r="I202" i="56"/>
  <c r="J201" i="56"/>
  <c r="I201" i="56"/>
  <c r="J200" i="56"/>
  <c r="I200" i="56"/>
  <c r="J199" i="56"/>
  <c r="I199" i="56"/>
  <c r="J198" i="56"/>
  <c r="I198" i="56"/>
  <c r="J197" i="56"/>
  <c r="I197" i="56"/>
  <c r="J196" i="56"/>
  <c r="I196" i="56"/>
  <c r="J195" i="56"/>
  <c r="I195" i="56"/>
  <c r="J194" i="56"/>
  <c r="I194" i="56"/>
  <c r="J193" i="56"/>
  <c r="I193" i="56"/>
  <c r="J192" i="56"/>
  <c r="I192" i="56"/>
  <c r="J191" i="56"/>
  <c r="I191" i="56"/>
  <c r="J190" i="56"/>
  <c r="I190" i="56"/>
  <c r="J189" i="56"/>
  <c r="I189" i="56"/>
  <c r="J188" i="56"/>
  <c r="I188" i="56"/>
  <c r="J187" i="56"/>
  <c r="I187" i="56"/>
  <c r="J186" i="56"/>
  <c r="I186" i="56"/>
  <c r="J185" i="56"/>
  <c r="I185" i="56"/>
  <c r="J184" i="56"/>
  <c r="I184" i="56"/>
  <c r="J183" i="56"/>
  <c r="I183" i="56"/>
  <c r="J182" i="56"/>
  <c r="I182" i="56"/>
  <c r="J181" i="56"/>
  <c r="I181" i="56"/>
  <c r="J180" i="56"/>
  <c r="I180" i="56"/>
  <c r="J179" i="56"/>
  <c r="I179" i="56"/>
  <c r="J178" i="56"/>
  <c r="I178" i="56"/>
  <c r="J177" i="56"/>
  <c r="I177" i="56"/>
  <c r="J176" i="56"/>
  <c r="I176" i="56"/>
  <c r="J175" i="56"/>
  <c r="I175" i="56"/>
  <c r="J174" i="56"/>
  <c r="I174" i="56"/>
  <c r="J173" i="56"/>
  <c r="I173" i="56"/>
  <c r="J172" i="56"/>
  <c r="I172" i="56"/>
  <c r="J171" i="56"/>
  <c r="I171" i="56"/>
  <c r="J170" i="56"/>
  <c r="I170" i="56"/>
  <c r="J169" i="56"/>
  <c r="I169" i="56"/>
  <c r="J168" i="56"/>
  <c r="I168" i="56"/>
  <c r="J167" i="56"/>
  <c r="I167" i="56"/>
  <c r="J166" i="56"/>
  <c r="I166" i="56"/>
  <c r="J165" i="56"/>
  <c r="I165" i="56"/>
  <c r="J164" i="56"/>
  <c r="I164" i="56"/>
  <c r="J163" i="56"/>
  <c r="I163" i="56"/>
  <c r="J162" i="56"/>
  <c r="I162" i="56"/>
  <c r="J161" i="56"/>
  <c r="I161" i="56"/>
  <c r="J160" i="56"/>
  <c r="I160" i="56"/>
  <c r="J159" i="56"/>
  <c r="I159" i="56"/>
  <c r="J158" i="56"/>
  <c r="I158" i="56"/>
  <c r="J157" i="56"/>
  <c r="I157" i="56"/>
  <c r="J156" i="56"/>
  <c r="I156" i="56"/>
  <c r="J155" i="56"/>
  <c r="I155" i="56"/>
  <c r="J154" i="56"/>
  <c r="I154" i="56"/>
  <c r="J153" i="56"/>
  <c r="I153" i="56"/>
  <c r="J152" i="56"/>
  <c r="I152" i="56"/>
  <c r="J151" i="56"/>
  <c r="I151" i="56"/>
  <c r="J150" i="56"/>
  <c r="I150" i="56"/>
  <c r="J149" i="56"/>
  <c r="I149" i="56"/>
  <c r="J148" i="56"/>
  <c r="I148" i="56"/>
  <c r="J147" i="56"/>
  <c r="I147" i="56"/>
  <c r="J146" i="56"/>
  <c r="I146" i="56"/>
  <c r="J145" i="56"/>
  <c r="I145" i="56"/>
  <c r="J144" i="56"/>
  <c r="I144" i="56"/>
  <c r="J143" i="56"/>
  <c r="I143" i="56"/>
  <c r="J142" i="56"/>
  <c r="I142" i="56"/>
  <c r="J141" i="56"/>
  <c r="I141" i="56"/>
  <c r="J140" i="56"/>
  <c r="I140" i="56"/>
  <c r="J139" i="56"/>
  <c r="I139" i="56"/>
  <c r="J138" i="56"/>
  <c r="I138" i="56"/>
  <c r="J137" i="56"/>
  <c r="I137" i="56"/>
  <c r="J136" i="56"/>
  <c r="I136" i="56"/>
  <c r="J135" i="56"/>
  <c r="I135" i="56"/>
  <c r="J134" i="56"/>
  <c r="I134" i="56"/>
  <c r="J133" i="56"/>
  <c r="I133" i="56"/>
  <c r="J132" i="56"/>
  <c r="I132" i="56"/>
  <c r="J131" i="56"/>
  <c r="I131" i="56"/>
  <c r="J130" i="56"/>
  <c r="I130" i="56"/>
  <c r="J129" i="56"/>
  <c r="I129" i="56"/>
  <c r="J128" i="56"/>
  <c r="I128" i="56"/>
  <c r="J127" i="56"/>
  <c r="I127" i="56"/>
  <c r="J126" i="56"/>
  <c r="I126" i="56"/>
  <c r="J125" i="56"/>
  <c r="I125" i="56"/>
  <c r="J124" i="56"/>
  <c r="I124" i="56"/>
  <c r="J123" i="56"/>
  <c r="I123" i="56"/>
  <c r="J122" i="56"/>
  <c r="I122" i="56"/>
  <c r="J121" i="56"/>
  <c r="I121" i="56"/>
  <c r="J120" i="56"/>
  <c r="I120" i="56"/>
  <c r="J119" i="56"/>
  <c r="I119" i="56"/>
  <c r="J118" i="56"/>
  <c r="I118" i="56"/>
  <c r="J117" i="56"/>
  <c r="I117" i="56"/>
  <c r="J116" i="56"/>
  <c r="I116" i="56"/>
  <c r="J115" i="56"/>
  <c r="I115" i="56"/>
  <c r="J114" i="56"/>
  <c r="I114" i="56"/>
  <c r="J113" i="56"/>
  <c r="I113" i="56"/>
  <c r="J112" i="56"/>
  <c r="I112" i="56"/>
  <c r="J111" i="56"/>
  <c r="I111" i="56"/>
  <c r="J110" i="56"/>
  <c r="I110" i="56"/>
  <c r="J109" i="56"/>
  <c r="I109" i="56"/>
  <c r="J108" i="56"/>
  <c r="I108" i="56"/>
  <c r="J107" i="56"/>
  <c r="I107" i="56"/>
  <c r="J106" i="56"/>
  <c r="I106" i="56"/>
  <c r="J105" i="56"/>
  <c r="I105" i="56"/>
  <c r="J104" i="56"/>
  <c r="I104" i="56"/>
  <c r="J103" i="56"/>
  <c r="I103" i="56"/>
  <c r="J102" i="56"/>
  <c r="I102" i="56"/>
  <c r="J101" i="56"/>
  <c r="I101" i="56"/>
  <c r="J100" i="56"/>
  <c r="I100" i="56"/>
  <c r="J99" i="56"/>
  <c r="I99" i="56"/>
  <c r="J98" i="56"/>
  <c r="I98" i="56"/>
  <c r="J97" i="56"/>
  <c r="I97" i="56"/>
  <c r="J96" i="56"/>
  <c r="I96" i="56"/>
  <c r="J95" i="56"/>
  <c r="I95" i="56"/>
  <c r="J94" i="56"/>
  <c r="I94" i="56"/>
  <c r="J93" i="56"/>
  <c r="I93" i="56"/>
  <c r="J92" i="56"/>
  <c r="I92" i="56"/>
  <c r="J91" i="56"/>
  <c r="I91" i="56"/>
  <c r="J90" i="56"/>
  <c r="I90" i="56"/>
  <c r="J89" i="56"/>
  <c r="I89" i="56"/>
  <c r="J88" i="56"/>
  <c r="I88" i="56"/>
  <c r="J87" i="56"/>
  <c r="I87" i="56"/>
  <c r="J86" i="56"/>
  <c r="I86" i="56"/>
  <c r="J85" i="56"/>
  <c r="I85" i="56"/>
  <c r="J84" i="56"/>
  <c r="I84" i="56"/>
  <c r="J83" i="56"/>
  <c r="I83" i="56"/>
  <c r="J82" i="56"/>
  <c r="I82" i="56"/>
  <c r="J81" i="56"/>
  <c r="I81" i="56"/>
  <c r="J80" i="56"/>
  <c r="I80" i="56"/>
  <c r="J79" i="56"/>
  <c r="I79" i="56"/>
  <c r="J78" i="56"/>
  <c r="I78" i="56"/>
  <c r="J77" i="56"/>
  <c r="I77" i="56"/>
  <c r="J76" i="56"/>
  <c r="I76" i="56"/>
  <c r="J75" i="56"/>
  <c r="I75" i="56"/>
  <c r="J74" i="56"/>
  <c r="I74" i="56"/>
  <c r="J73" i="56"/>
  <c r="I73" i="56"/>
  <c r="J72" i="56"/>
  <c r="I72" i="56"/>
  <c r="J71" i="56"/>
  <c r="I71" i="56"/>
  <c r="J70" i="56"/>
  <c r="I70" i="56"/>
  <c r="J69" i="56"/>
  <c r="I69" i="56"/>
  <c r="J68" i="56"/>
  <c r="I68" i="56"/>
  <c r="J67" i="56"/>
  <c r="I67" i="56"/>
  <c r="J66" i="56"/>
  <c r="I66" i="56"/>
  <c r="J65" i="56"/>
  <c r="I65" i="56"/>
  <c r="J64" i="56"/>
  <c r="I64" i="56"/>
  <c r="J63" i="56"/>
  <c r="I63" i="56"/>
  <c r="J62" i="56"/>
  <c r="I62" i="56"/>
  <c r="J61" i="56"/>
  <c r="I61" i="56"/>
  <c r="J60" i="56"/>
  <c r="I60" i="56"/>
  <c r="J59" i="56"/>
  <c r="I59" i="56"/>
  <c r="J58" i="56"/>
  <c r="I58" i="56"/>
  <c r="J57" i="56"/>
  <c r="I57" i="56"/>
  <c r="J56" i="56"/>
  <c r="I56" i="56"/>
  <c r="J55" i="56"/>
  <c r="I55" i="56"/>
  <c r="J54" i="56"/>
  <c r="I54" i="56"/>
  <c r="J53" i="56"/>
  <c r="I53" i="56"/>
  <c r="J52" i="56"/>
  <c r="I52" i="56"/>
  <c r="J51" i="56"/>
  <c r="I51" i="56"/>
  <c r="J50" i="56"/>
  <c r="I50" i="56"/>
  <c r="G50" i="56"/>
  <c r="G51" i="56" s="1"/>
  <c r="G52" i="56" s="1"/>
  <c r="H52" i="56" s="1"/>
  <c r="J49" i="56"/>
  <c r="I49" i="56"/>
  <c r="G49" i="56"/>
  <c r="H49" i="56" s="1"/>
  <c r="J48" i="56"/>
  <c r="I48" i="56"/>
  <c r="J47" i="56"/>
  <c r="I47" i="56"/>
  <c r="G47" i="56"/>
  <c r="H47" i="56" s="1"/>
  <c r="J46" i="56"/>
  <c r="I46" i="56"/>
  <c r="J45" i="56"/>
  <c r="I45" i="56"/>
  <c r="G45" i="56"/>
  <c r="J44" i="56"/>
  <c r="I44" i="56"/>
  <c r="J43" i="56"/>
  <c r="I43" i="56"/>
  <c r="G43" i="56"/>
  <c r="G44" i="56" s="1"/>
  <c r="H44" i="56" s="1"/>
  <c r="J42" i="56"/>
  <c r="I42" i="56"/>
  <c r="J41" i="56"/>
  <c r="I41" i="56"/>
  <c r="G41" i="56"/>
  <c r="H41" i="56" s="1"/>
  <c r="J40" i="56"/>
  <c r="I40" i="56"/>
  <c r="J39" i="56"/>
  <c r="I39" i="56"/>
  <c r="G39" i="56"/>
  <c r="G40" i="56" s="1"/>
  <c r="H40" i="56" s="1"/>
  <c r="J38" i="56"/>
  <c r="I38" i="56"/>
  <c r="G38" i="56"/>
  <c r="H38" i="56" s="1"/>
  <c r="J37" i="56"/>
  <c r="I37" i="56"/>
  <c r="J36" i="56"/>
  <c r="I36" i="56"/>
  <c r="G36" i="56"/>
  <c r="H36" i="56" s="1"/>
  <c r="J35" i="56"/>
  <c r="I35" i="56"/>
  <c r="G35" i="56"/>
  <c r="H35" i="56" s="1"/>
  <c r="J34" i="56"/>
  <c r="I34" i="56"/>
  <c r="J33" i="56"/>
  <c r="I33" i="56"/>
  <c r="G33" i="56"/>
  <c r="H33" i="56" s="1"/>
  <c r="J32" i="56"/>
  <c r="I32" i="56"/>
  <c r="J31" i="56"/>
  <c r="I31" i="56"/>
  <c r="J30" i="56"/>
  <c r="I30" i="56"/>
  <c r="J29" i="56"/>
  <c r="I29" i="56"/>
  <c r="G29" i="56"/>
  <c r="G30" i="56" s="1"/>
  <c r="H30" i="56" s="1"/>
  <c r="J28" i="56"/>
  <c r="I28" i="56"/>
  <c r="G28" i="56"/>
  <c r="H28" i="56" s="1"/>
  <c r="J27" i="56"/>
  <c r="I27" i="56"/>
  <c r="J26" i="56"/>
  <c r="I26" i="56"/>
  <c r="G26" i="56"/>
  <c r="H26" i="56" s="1"/>
  <c r="J25" i="56"/>
  <c r="I25" i="56"/>
  <c r="J24" i="56"/>
  <c r="I24" i="56"/>
  <c r="J23" i="56"/>
  <c r="I23" i="56"/>
  <c r="J22" i="56"/>
  <c r="I22" i="56"/>
  <c r="G22" i="56"/>
  <c r="H22" i="56" s="1"/>
  <c r="J21" i="56"/>
  <c r="I21" i="56"/>
  <c r="G21" i="56"/>
  <c r="H21" i="56" s="1"/>
  <c r="J20" i="56"/>
  <c r="I20" i="56"/>
  <c r="G20" i="56"/>
  <c r="H20" i="56" s="1"/>
  <c r="J19" i="56"/>
  <c r="I19" i="56"/>
  <c r="G19" i="56"/>
  <c r="H19" i="56" s="1"/>
  <c r="J18" i="56"/>
  <c r="I18" i="56"/>
  <c r="G18" i="56"/>
  <c r="H18" i="56" s="1"/>
  <c r="J17" i="56"/>
  <c r="I17" i="56"/>
  <c r="G17" i="56"/>
  <c r="H17" i="56" s="1"/>
  <c r="O16" i="56"/>
  <c r="J16" i="56"/>
  <c r="I16" i="56"/>
  <c r="J15" i="56"/>
  <c r="I15" i="56"/>
  <c r="G15" i="56"/>
  <c r="G16" i="56" s="1"/>
  <c r="H16" i="56" s="1"/>
  <c r="P14" i="56"/>
  <c r="N14" i="56"/>
  <c r="J14" i="56"/>
  <c r="I14" i="56"/>
  <c r="O13" i="56"/>
  <c r="J13" i="56"/>
  <c r="I13" i="56"/>
  <c r="G13" i="56"/>
  <c r="H13" i="56" s="1"/>
  <c r="O12" i="56"/>
  <c r="J12" i="56"/>
  <c r="I12" i="56"/>
  <c r="O11" i="56"/>
  <c r="J11" i="56"/>
  <c r="I11" i="56"/>
  <c r="G11" i="56"/>
  <c r="H11" i="56" s="1"/>
  <c r="O10" i="56"/>
  <c r="J10" i="56"/>
  <c r="I10" i="56"/>
  <c r="G10" i="56"/>
  <c r="H10" i="56" s="1"/>
  <c r="O9" i="56"/>
  <c r="J9" i="56"/>
  <c r="I9" i="56"/>
  <c r="O8" i="56"/>
  <c r="J8" i="56"/>
  <c r="I8" i="56"/>
  <c r="G8" i="56"/>
  <c r="H8" i="56" s="1"/>
  <c r="O7" i="56"/>
  <c r="J7" i="56"/>
  <c r="I7" i="56"/>
  <c r="O6" i="56"/>
  <c r="J6" i="56"/>
  <c r="I6" i="56"/>
  <c r="G6" i="56"/>
  <c r="O5" i="56"/>
  <c r="J5" i="56"/>
  <c r="I5" i="56"/>
  <c r="O4" i="56"/>
  <c r="J4" i="56"/>
  <c r="I4" i="56"/>
  <c r="G4" i="56"/>
  <c r="H4" i="56" s="1"/>
  <c r="O3" i="56"/>
  <c r="J3" i="56"/>
  <c r="I3" i="56"/>
  <c r="J2" i="56"/>
  <c r="I2" i="56"/>
  <c r="H2" i="56"/>
  <c r="G2" i="56"/>
  <c r="G3" i="56" s="1"/>
  <c r="H3" i="56" s="1"/>
  <c r="J250" i="55"/>
  <c r="I250" i="55"/>
  <c r="J249" i="55"/>
  <c r="I249" i="55"/>
  <c r="J248" i="55"/>
  <c r="I248" i="55"/>
  <c r="J247" i="55"/>
  <c r="I247" i="55"/>
  <c r="J246" i="55"/>
  <c r="I246" i="55"/>
  <c r="J245" i="55"/>
  <c r="I245" i="55"/>
  <c r="J244" i="55"/>
  <c r="I244" i="55"/>
  <c r="J243" i="55"/>
  <c r="I243" i="55"/>
  <c r="J242" i="55"/>
  <c r="I242" i="55"/>
  <c r="J241" i="55"/>
  <c r="I241" i="55"/>
  <c r="J240" i="55"/>
  <c r="I240" i="55"/>
  <c r="J239" i="55"/>
  <c r="I239" i="55"/>
  <c r="J238" i="55"/>
  <c r="I238" i="55"/>
  <c r="J237" i="55"/>
  <c r="I237" i="55"/>
  <c r="J236" i="55"/>
  <c r="I236" i="55"/>
  <c r="J235" i="55"/>
  <c r="I235" i="55"/>
  <c r="J234" i="55"/>
  <c r="I234" i="55"/>
  <c r="J233" i="55"/>
  <c r="I233" i="55"/>
  <c r="J232" i="55"/>
  <c r="I232" i="55"/>
  <c r="J231" i="55"/>
  <c r="I231" i="55"/>
  <c r="J230" i="55"/>
  <c r="I230" i="55"/>
  <c r="J229" i="55"/>
  <c r="I229" i="55"/>
  <c r="J228" i="55"/>
  <c r="I228" i="55"/>
  <c r="J227" i="55"/>
  <c r="I227" i="55"/>
  <c r="J226" i="55"/>
  <c r="I226" i="55"/>
  <c r="J225" i="55"/>
  <c r="I225" i="55"/>
  <c r="J224" i="55"/>
  <c r="I224" i="55"/>
  <c r="J223" i="55"/>
  <c r="I223" i="55"/>
  <c r="J222" i="55"/>
  <c r="I222" i="55"/>
  <c r="J221" i="55"/>
  <c r="I221" i="55"/>
  <c r="J220" i="55"/>
  <c r="I220" i="55"/>
  <c r="J219" i="55"/>
  <c r="I219" i="55"/>
  <c r="J218" i="55"/>
  <c r="I218" i="55"/>
  <c r="J217" i="55"/>
  <c r="I217" i="55"/>
  <c r="J216" i="55"/>
  <c r="I216" i="55"/>
  <c r="J215" i="55"/>
  <c r="I215" i="55"/>
  <c r="J214" i="55"/>
  <c r="I214" i="55"/>
  <c r="J213" i="55"/>
  <c r="I213" i="55"/>
  <c r="J212" i="55"/>
  <c r="I212" i="55"/>
  <c r="J211" i="55"/>
  <c r="I211" i="55"/>
  <c r="J210" i="55"/>
  <c r="I210" i="55"/>
  <c r="J209" i="55"/>
  <c r="I209" i="55"/>
  <c r="J208" i="55"/>
  <c r="I208" i="55"/>
  <c r="J207" i="55"/>
  <c r="I207" i="55"/>
  <c r="J206" i="55"/>
  <c r="I206" i="55"/>
  <c r="J205" i="55"/>
  <c r="I205" i="55"/>
  <c r="J204" i="55"/>
  <c r="I204" i="55"/>
  <c r="J203" i="55"/>
  <c r="I203" i="55"/>
  <c r="J202" i="55"/>
  <c r="I202" i="55"/>
  <c r="J201" i="55"/>
  <c r="I201" i="55"/>
  <c r="J200" i="55"/>
  <c r="I200" i="55"/>
  <c r="J199" i="55"/>
  <c r="I199" i="55"/>
  <c r="J198" i="55"/>
  <c r="I198" i="55"/>
  <c r="J197" i="55"/>
  <c r="I197" i="55"/>
  <c r="J196" i="55"/>
  <c r="I196" i="55"/>
  <c r="J195" i="55"/>
  <c r="I195" i="55"/>
  <c r="J194" i="55"/>
  <c r="I194" i="55"/>
  <c r="J193" i="55"/>
  <c r="I193" i="55"/>
  <c r="J192" i="55"/>
  <c r="I192" i="55"/>
  <c r="J191" i="55"/>
  <c r="I191" i="55"/>
  <c r="J190" i="55"/>
  <c r="I190" i="55"/>
  <c r="J189" i="55"/>
  <c r="I189" i="55"/>
  <c r="J188" i="55"/>
  <c r="I188" i="55"/>
  <c r="J187" i="55"/>
  <c r="I187" i="55"/>
  <c r="J186" i="55"/>
  <c r="I186" i="55"/>
  <c r="J185" i="55"/>
  <c r="I185" i="55"/>
  <c r="J184" i="55"/>
  <c r="I184" i="55"/>
  <c r="J183" i="55"/>
  <c r="I183" i="55"/>
  <c r="J182" i="55"/>
  <c r="I182" i="55"/>
  <c r="J181" i="55"/>
  <c r="I181" i="55"/>
  <c r="J180" i="55"/>
  <c r="I180" i="55"/>
  <c r="J179" i="55"/>
  <c r="I179" i="55"/>
  <c r="J178" i="55"/>
  <c r="I178" i="55"/>
  <c r="J177" i="55"/>
  <c r="I177" i="55"/>
  <c r="J176" i="55"/>
  <c r="I176" i="55"/>
  <c r="J175" i="55"/>
  <c r="I175" i="55"/>
  <c r="J174" i="55"/>
  <c r="I174" i="55"/>
  <c r="J173" i="55"/>
  <c r="I173" i="55"/>
  <c r="J172" i="55"/>
  <c r="I172" i="55"/>
  <c r="J171" i="55"/>
  <c r="I171" i="55"/>
  <c r="J170" i="55"/>
  <c r="I170" i="55"/>
  <c r="J169" i="55"/>
  <c r="I169" i="55"/>
  <c r="J168" i="55"/>
  <c r="I168" i="55"/>
  <c r="J167" i="55"/>
  <c r="I167" i="55"/>
  <c r="J166" i="55"/>
  <c r="I166" i="55"/>
  <c r="J165" i="55"/>
  <c r="I165" i="55"/>
  <c r="J164" i="55"/>
  <c r="I164" i="55"/>
  <c r="J163" i="55"/>
  <c r="I163" i="55"/>
  <c r="J162" i="55"/>
  <c r="I162" i="55"/>
  <c r="J161" i="55"/>
  <c r="I161" i="55"/>
  <c r="J160" i="55"/>
  <c r="I160" i="55"/>
  <c r="J159" i="55"/>
  <c r="I159" i="55"/>
  <c r="J158" i="55"/>
  <c r="I158" i="55"/>
  <c r="J157" i="55"/>
  <c r="I157" i="55"/>
  <c r="J156" i="55"/>
  <c r="I156" i="55"/>
  <c r="J155" i="55"/>
  <c r="I155" i="55"/>
  <c r="J154" i="55"/>
  <c r="I154" i="55"/>
  <c r="J153" i="55"/>
  <c r="I153" i="55"/>
  <c r="J152" i="55"/>
  <c r="I152" i="55"/>
  <c r="J151" i="55"/>
  <c r="I151" i="55"/>
  <c r="J150" i="55"/>
  <c r="I150" i="55"/>
  <c r="J149" i="55"/>
  <c r="I149" i="55"/>
  <c r="J148" i="55"/>
  <c r="I148" i="55"/>
  <c r="J147" i="55"/>
  <c r="I147" i="55"/>
  <c r="J146" i="55"/>
  <c r="I146" i="55"/>
  <c r="J145" i="55"/>
  <c r="I145" i="55"/>
  <c r="J144" i="55"/>
  <c r="I144" i="55"/>
  <c r="J143" i="55"/>
  <c r="I143" i="55"/>
  <c r="J142" i="55"/>
  <c r="I142" i="55"/>
  <c r="J141" i="55"/>
  <c r="I141" i="55"/>
  <c r="J140" i="55"/>
  <c r="I140" i="55"/>
  <c r="J139" i="55"/>
  <c r="I139" i="55"/>
  <c r="J138" i="55"/>
  <c r="I138" i="55"/>
  <c r="J137" i="55"/>
  <c r="I137" i="55"/>
  <c r="J136" i="55"/>
  <c r="I136" i="55"/>
  <c r="J135" i="55"/>
  <c r="I135" i="55"/>
  <c r="J134" i="55"/>
  <c r="I134" i="55"/>
  <c r="J133" i="55"/>
  <c r="I133" i="55"/>
  <c r="J132" i="55"/>
  <c r="I132" i="55"/>
  <c r="J131" i="55"/>
  <c r="I131" i="55"/>
  <c r="J130" i="55"/>
  <c r="I130" i="55"/>
  <c r="J129" i="55"/>
  <c r="I129" i="55"/>
  <c r="J128" i="55"/>
  <c r="I128" i="55"/>
  <c r="J127" i="55"/>
  <c r="I127" i="55"/>
  <c r="J126" i="55"/>
  <c r="I126" i="55"/>
  <c r="J125" i="55"/>
  <c r="I125" i="55"/>
  <c r="J124" i="55"/>
  <c r="I124" i="55"/>
  <c r="J123" i="55"/>
  <c r="I123" i="55"/>
  <c r="J122" i="55"/>
  <c r="I122" i="55"/>
  <c r="J121" i="55"/>
  <c r="I121" i="55"/>
  <c r="J120" i="55"/>
  <c r="I120" i="55"/>
  <c r="J119" i="55"/>
  <c r="I119" i="55"/>
  <c r="J118" i="55"/>
  <c r="I118" i="55"/>
  <c r="J117" i="55"/>
  <c r="I117" i="55"/>
  <c r="J116" i="55"/>
  <c r="I116" i="55"/>
  <c r="J115" i="55"/>
  <c r="I115" i="55"/>
  <c r="J114" i="55"/>
  <c r="I114" i="55"/>
  <c r="J113" i="55"/>
  <c r="I113" i="55"/>
  <c r="J112" i="55"/>
  <c r="I112" i="55"/>
  <c r="J111" i="55"/>
  <c r="I111" i="55"/>
  <c r="J110" i="55"/>
  <c r="I110" i="55"/>
  <c r="J109" i="55"/>
  <c r="I109" i="55"/>
  <c r="J108" i="55"/>
  <c r="I108" i="55"/>
  <c r="J107" i="55"/>
  <c r="I107" i="55"/>
  <c r="J106" i="55"/>
  <c r="I106" i="55"/>
  <c r="J105" i="55"/>
  <c r="I105" i="55"/>
  <c r="J104" i="55"/>
  <c r="I104" i="55"/>
  <c r="J103" i="55"/>
  <c r="I103" i="55"/>
  <c r="J102" i="55"/>
  <c r="I102" i="55"/>
  <c r="J101" i="55"/>
  <c r="I101" i="55"/>
  <c r="J100" i="55"/>
  <c r="I100" i="55"/>
  <c r="J99" i="55"/>
  <c r="I99" i="55"/>
  <c r="J98" i="55"/>
  <c r="I98" i="55"/>
  <c r="J97" i="55"/>
  <c r="I97" i="55"/>
  <c r="J96" i="55"/>
  <c r="I96" i="55"/>
  <c r="J95" i="55"/>
  <c r="I95" i="55"/>
  <c r="J94" i="55"/>
  <c r="I94" i="55"/>
  <c r="J93" i="55"/>
  <c r="I93" i="55"/>
  <c r="J92" i="55"/>
  <c r="I92" i="55"/>
  <c r="J91" i="55"/>
  <c r="I91" i="55"/>
  <c r="J90" i="55"/>
  <c r="I90" i="55"/>
  <c r="J89" i="55"/>
  <c r="I89" i="55"/>
  <c r="J88" i="55"/>
  <c r="I88" i="55"/>
  <c r="J87" i="55"/>
  <c r="I87" i="55"/>
  <c r="J86" i="55"/>
  <c r="I86" i="55"/>
  <c r="J85" i="55"/>
  <c r="I85" i="55"/>
  <c r="J84" i="55"/>
  <c r="I84" i="55"/>
  <c r="J83" i="55"/>
  <c r="I83" i="55"/>
  <c r="J82" i="55"/>
  <c r="I82" i="55"/>
  <c r="J81" i="55"/>
  <c r="I81" i="55"/>
  <c r="J80" i="55"/>
  <c r="I80" i="55"/>
  <c r="J79" i="55"/>
  <c r="I79" i="55"/>
  <c r="J78" i="55"/>
  <c r="I78" i="55"/>
  <c r="J77" i="55"/>
  <c r="I77" i="55"/>
  <c r="J76" i="55"/>
  <c r="I76" i="55"/>
  <c r="J75" i="55"/>
  <c r="I75" i="55"/>
  <c r="J74" i="55"/>
  <c r="I74" i="55"/>
  <c r="J73" i="55"/>
  <c r="I73" i="55"/>
  <c r="J72" i="55"/>
  <c r="I72" i="55"/>
  <c r="J71" i="55"/>
  <c r="I71" i="55"/>
  <c r="J70" i="55"/>
  <c r="I70" i="55"/>
  <c r="J69" i="55"/>
  <c r="I69" i="55"/>
  <c r="J68" i="55"/>
  <c r="I68" i="55"/>
  <c r="J67" i="55"/>
  <c r="I67" i="55"/>
  <c r="J66" i="55"/>
  <c r="I66" i="55"/>
  <c r="J65" i="55"/>
  <c r="I65" i="55"/>
  <c r="J64" i="55"/>
  <c r="I64" i="55"/>
  <c r="J63" i="55"/>
  <c r="I63" i="55"/>
  <c r="J62" i="55"/>
  <c r="I62" i="55"/>
  <c r="J61" i="55"/>
  <c r="I61" i="55"/>
  <c r="J60" i="55"/>
  <c r="I60" i="55"/>
  <c r="J59" i="55"/>
  <c r="I59" i="55"/>
  <c r="J58" i="55"/>
  <c r="I58" i="55"/>
  <c r="J57" i="55"/>
  <c r="I57" i="55"/>
  <c r="J56" i="55"/>
  <c r="I56" i="55"/>
  <c r="J55" i="55"/>
  <c r="I55" i="55"/>
  <c r="J54" i="55"/>
  <c r="I54" i="55"/>
  <c r="J53" i="55"/>
  <c r="I53" i="55"/>
  <c r="J52" i="55"/>
  <c r="I52" i="55"/>
  <c r="J51" i="55"/>
  <c r="I51" i="55"/>
  <c r="J50" i="55"/>
  <c r="I50" i="55"/>
  <c r="G50" i="55"/>
  <c r="J49" i="55"/>
  <c r="I49" i="55"/>
  <c r="G49" i="55"/>
  <c r="H49" i="55" s="1"/>
  <c r="J48" i="55"/>
  <c r="I48" i="55"/>
  <c r="J47" i="55"/>
  <c r="I47" i="55"/>
  <c r="G47" i="55"/>
  <c r="H47" i="55" s="1"/>
  <c r="J46" i="55"/>
  <c r="I46" i="55"/>
  <c r="J45" i="55"/>
  <c r="I45" i="55"/>
  <c r="G45" i="55"/>
  <c r="G46" i="55" s="1"/>
  <c r="H46" i="55" s="1"/>
  <c r="J44" i="55"/>
  <c r="I44" i="55"/>
  <c r="J43" i="55"/>
  <c r="I43" i="55"/>
  <c r="G43" i="55"/>
  <c r="G44" i="55" s="1"/>
  <c r="H44" i="55" s="1"/>
  <c r="J42" i="55"/>
  <c r="I42" i="55"/>
  <c r="J41" i="55"/>
  <c r="I41" i="55"/>
  <c r="G41" i="55"/>
  <c r="H41" i="55" s="1"/>
  <c r="J40" i="55"/>
  <c r="I40" i="55"/>
  <c r="J39" i="55"/>
  <c r="I39" i="55"/>
  <c r="G39" i="55"/>
  <c r="J38" i="55"/>
  <c r="I38" i="55"/>
  <c r="G38" i="55"/>
  <c r="H38" i="55" s="1"/>
  <c r="J37" i="55"/>
  <c r="I37" i="55"/>
  <c r="J36" i="55"/>
  <c r="I36" i="55"/>
  <c r="G36" i="55"/>
  <c r="H36" i="55" s="1"/>
  <c r="J35" i="55"/>
  <c r="I35" i="55"/>
  <c r="G35" i="55"/>
  <c r="H35" i="55" s="1"/>
  <c r="J34" i="55"/>
  <c r="I34" i="55"/>
  <c r="J33" i="55"/>
  <c r="I33" i="55"/>
  <c r="G33" i="55"/>
  <c r="G34" i="55" s="1"/>
  <c r="H34" i="55" s="1"/>
  <c r="J32" i="55"/>
  <c r="I32" i="55"/>
  <c r="J31" i="55"/>
  <c r="I31" i="55"/>
  <c r="J30" i="55"/>
  <c r="I30" i="55"/>
  <c r="J29" i="55"/>
  <c r="I29" i="55"/>
  <c r="G29" i="55"/>
  <c r="G30" i="55" s="1"/>
  <c r="J28" i="55"/>
  <c r="I28" i="55"/>
  <c r="G28" i="55"/>
  <c r="H28" i="55" s="1"/>
  <c r="J27" i="55"/>
  <c r="I27" i="55"/>
  <c r="J26" i="55"/>
  <c r="I26" i="55"/>
  <c r="G26" i="55"/>
  <c r="G27" i="55" s="1"/>
  <c r="H27" i="55" s="1"/>
  <c r="J25" i="55"/>
  <c r="I25" i="55"/>
  <c r="J24" i="55"/>
  <c r="I24" i="55"/>
  <c r="J23" i="55"/>
  <c r="I23" i="55"/>
  <c r="J22" i="55"/>
  <c r="I22" i="55"/>
  <c r="G22" i="55"/>
  <c r="J21" i="55"/>
  <c r="I21" i="55"/>
  <c r="G21" i="55"/>
  <c r="H21" i="55" s="1"/>
  <c r="J20" i="55"/>
  <c r="I20" i="55"/>
  <c r="G20" i="55"/>
  <c r="H20" i="55" s="1"/>
  <c r="J19" i="55"/>
  <c r="I19" i="55"/>
  <c r="G19" i="55"/>
  <c r="H19" i="55" s="1"/>
  <c r="J18" i="55"/>
  <c r="I18" i="55"/>
  <c r="G18" i="55"/>
  <c r="H18" i="55" s="1"/>
  <c r="J17" i="55"/>
  <c r="I17" i="55"/>
  <c r="G17" i="55"/>
  <c r="H17" i="55" s="1"/>
  <c r="O16" i="55"/>
  <c r="J16" i="55"/>
  <c r="I16" i="55"/>
  <c r="J15" i="55"/>
  <c r="I15" i="55"/>
  <c r="G15" i="55"/>
  <c r="H15" i="55" s="1"/>
  <c r="P14" i="55"/>
  <c r="N14" i="55"/>
  <c r="J14" i="55"/>
  <c r="I14" i="55"/>
  <c r="O13" i="55"/>
  <c r="J13" i="55"/>
  <c r="I13" i="55"/>
  <c r="G13" i="55"/>
  <c r="O12" i="55"/>
  <c r="J12" i="55"/>
  <c r="I12" i="55"/>
  <c r="O11" i="55"/>
  <c r="J11" i="55"/>
  <c r="I11" i="55"/>
  <c r="G11" i="55"/>
  <c r="H11" i="55" s="1"/>
  <c r="O10" i="55"/>
  <c r="J10" i="55"/>
  <c r="I10" i="55"/>
  <c r="G10" i="55"/>
  <c r="H10" i="55" s="1"/>
  <c r="O9" i="55"/>
  <c r="J9" i="55"/>
  <c r="I9" i="55"/>
  <c r="O8" i="55"/>
  <c r="J8" i="55"/>
  <c r="I8" i="55"/>
  <c r="G8" i="55"/>
  <c r="H8" i="55" s="1"/>
  <c r="O7" i="55"/>
  <c r="J7" i="55"/>
  <c r="I7" i="55"/>
  <c r="O6" i="55"/>
  <c r="J6" i="55"/>
  <c r="I6" i="55"/>
  <c r="G6" i="55"/>
  <c r="H6" i="55" s="1"/>
  <c r="O5" i="55"/>
  <c r="J5" i="55"/>
  <c r="I5" i="55"/>
  <c r="O4" i="55"/>
  <c r="J4" i="55"/>
  <c r="I4" i="55"/>
  <c r="G4" i="55"/>
  <c r="H4" i="55" s="1"/>
  <c r="O3" i="55"/>
  <c r="J3" i="55"/>
  <c r="I3" i="55"/>
  <c r="J2" i="55"/>
  <c r="I2" i="55"/>
  <c r="H2" i="55"/>
  <c r="G2" i="55"/>
  <c r="G3" i="55" s="1"/>
  <c r="H3" i="55" s="1"/>
  <c r="J250" i="54"/>
  <c r="I250" i="54"/>
  <c r="J249" i="54"/>
  <c r="I249" i="54"/>
  <c r="J248" i="54"/>
  <c r="I248" i="54"/>
  <c r="J247" i="54"/>
  <c r="I247" i="54"/>
  <c r="J246" i="54"/>
  <c r="I246" i="54"/>
  <c r="J245" i="54"/>
  <c r="I245" i="54"/>
  <c r="J244" i="54"/>
  <c r="I244" i="54"/>
  <c r="J243" i="54"/>
  <c r="I243" i="54"/>
  <c r="J242" i="54"/>
  <c r="I242" i="54"/>
  <c r="J241" i="54"/>
  <c r="I241" i="54"/>
  <c r="J240" i="54"/>
  <c r="I240" i="54"/>
  <c r="J239" i="54"/>
  <c r="I239" i="54"/>
  <c r="J238" i="54"/>
  <c r="I238" i="54"/>
  <c r="J237" i="54"/>
  <c r="I237" i="54"/>
  <c r="J236" i="54"/>
  <c r="I236" i="54"/>
  <c r="J235" i="54"/>
  <c r="I235" i="54"/>
  <c r="J234" i="54"/>
  <c r="I234" i="54"/>
  <c r="J233" i="54"/>
  <c r="I233" i="54"/>
  <c r="J232" i="54"/>
  <c r="I232" i="54"/>
  <c r="J231" i="54"/>
  <c r="I231" i="54"/>
  <c r="J230" i="54"/>
  <c r="I230" i="54"/>
  <c r="J229" i="54"/>
  <c r="I229" i="54"/>
  <c r="J228" i="54"/>
  <c r="I228" i="54"/>
  <c r="J227" i="54"/>
  <c r="I227" i="54"/>
  <c r="J226" i="54"/>
  <c r="I226" i="54"/>
  <c r="J225" i="54"/>
  <c r="I225" i="54"/>
  <c r="J224" i="54"/>
  <c r="I224" i="54"/>
  <c r="J223" i="54"/>
  <c r="I223" i="54"/>
  <c r="J222" i="54"/>
  <c r="I222" i="54"/>
  <c r="J221" i="54"/>
  <c r="I221" i="54"/>
  <c r="J220" i="54"/>
  <c r="I220" i="54"/>
  <c r="J219" i="54"/>
  <c r="I219" i="54"/>
  <c r="J218" i="54"/>
  <c r="I218" i="54"/>
  <c r="J217" i="54"/>
  <c r="I217" i="54"/>
  <c r="J216" i="54"/>
  <c r="I216" i="54"/>
  <c r="J215" i="54"/>
  <c r="I215" i="54"/>
  <c r="J214" i="54"/>
  <c r="I214" i="54"/>
  <c r="J213" i="54"/>
  <c r="I213" i="54"/>
  <c r="J212" i="54"/>
  <c r="I212" i="54"/>
  <c r="J211" i="54"/>
  <c r="I211" i="54"/>
  <c r="J210" i="54"/>
  <c r="I210" i="54"/>
  <c r="J209" i="54"/>
  <c r="I209" i="54"/>
  <c r="J208" i="54"/>
  <c r="I208" i="54"/>
  <c r="J207" i="54"/>
  <c r="I207" i="54"/>
  <c r="J206" i="54"/>
  <c r="I206" i="54"/>
  <c r="J205" i="54"/>
  <c r="I205" i="54"/>
  <c r="J204" i="54"/>
  <c r="I204" i="54"/>
  <c r="J203" i="54"/>
  <c r="I203" i="54"/>
  <c r="J202" i="54"/>
  <c r="I202" i="54"/>
  <c r="J201" i="54"/>
  <c r="I201" i="54"/>
  <c r="J200" i="54"/>
  <c r="I200" i="54"/>
  <c r="J199" i="54"/>
  <c r="I199" i="54"/>
  <c r="J198" i="54"/>
  <c r="I198" i="54"/>
  <c r="J197" i="54"/>
  <c r="I197" i="54"/>
  <c r="J196" i="54"/>
  <c r="I196" i="54"/>
  <c r="J195" i="54"/>
  <c r="I195" i="54"/>
  <c r="J194" i="54"/>
  <c r="I194" i="54"/>
  <c r="J193" i="54"/>
  <c r="I193" i="54"/>
  <c r="J192" i="54"/>
  <c r="I192" i="54"/>
  <c r="J191" i="54"/>
  <c r="I191" i="54"/>
  <c r="J190" i="54"/>
  <c r="I190" i="54"/>
  <c r="J189" i="54"/>
  <c r="I189" i="54"/>
  <c r="J188" i="54"/>
  <c r="I188" i="54"/>
  <c r="J187" i="54"/>
  <c r="I187" i="54"/>
  <c r="J186" i="54"/>
  <c r="I186" i="54"/>
  <c r="J185" i="54"/>
  <c r="I185" i="54"/>
  <c r="J184" i="54"/>
  <c r="I184" i="54"/>
  <c r="J183" i="54"/>
  <c r="I183" i="54"/>
  <c r="J182" i="54"/>
  <c r="I182" i="54"/>
  <c r="J181" i="54"/>
  <c r="I181" i="54"/>
  <c r="J180" i="54"/>
  <c r="I180" i="54"/>
  <c r="J179" i="54"/>
  <c r="I179" i="54"/>
  <c r="J178" i="54"/>
  <c r="I178" i="54"/>
  <c r="J177" i="54"/>
  <c r="I177" i="54"/>
  <c r="J176" i="54"/>
  <c r="I176" i="54"/>
  <c r="J175" i="54"/>
  <c r="I175" i="54"/>
  <c r="J174" i="54"/>
  <c r="I174" i="54"/>
  <c r="J173" i="54"/>
  <c r="I173" i="54"/>
  <c r="J172" i="54"/>
  <c r="I172" i="54"/>
  <c r="J171" i="54"/>
  <c r="I171" i="54"/>
  <c r="J170" i="54"/>
  <c r="I170" i="54"/>
  <c r="J169" i="54"/>
  <c r="I169" i="54"/>
  <c r="J168" i="54"/>
  <c r="I168" i="54"/>
  <c r="J167" i="54"/>
  <c r="I167" i="54"/>
  <c r="J166" i="54"/>
  <c r="I166" i="54"/>
  <c r="J165" i="54"/>
  <c r="I165" i="54"/>
  <c r="J164" i="54"/>
  <c r="I164" i="54"/>
  <c r="J163" i="54"/>
  <c r="I163" i="54"/>
  <c r="J162" i="54"/>
  <c r="I162" i="54"/>
  <c r="J161" i="54"/>
  <c r="I161" i="54"/>
  <c r="J160" i="54"/>
  <c r="I160" i="54"/>
  <c r="J159" i="54"/>
  <c r="I159" i="54"/>
  <c r="J158" i="54"/>
  <c r="I158" i="54"/>
  <c r="J157" i="54"/>
  <c r="I157" i="54"/>
  <c r="J156" i="54"/>
  <c r="I156" i="54"/>
  <c r="J155" i="54"/>
  <c r="I155" i="54"/>
  <c r="J154" i="54"/>
  <c r="I154" i="54"/>
  <c r="J153" i="54"/>
  <c r="I153" i="54"/>
  <c r="J152" i="54"/>
  <c r="I152" i="54"/>
  <c r="J151" i="54"/>
  <c r="I151" i="54"/>
  <c r="J150" i="54"/>
  <c r="I150" i="54"/>
  <c r="J149" i="54"/>
  <c r="I149" i="54"/>
  <c r="J148" i="54"/>
  <c r="I148" i="54"/>
  <c r="J147" i="54"/>
  <c r="I147" i="54"/>
  <c r="J146" i="54"/>
  <c r="I146" i="54"/>
  <c r="J145" i="54"/>
  <c r="I145" i="54"/>
  <c r="J144" i="54"/>
  <c r="I144" i="54"/>
  <c r="J143" i="54"/>
  <c r="I143" i="54"/>
  <c r="J142" i="54"/>
  <c r="I142" i="54"/>
  <c r="J141" i="54"/>
  <c r="I141" i="54"/>
  <c r="J140" i="54"/>
  <c r="I140" i="54"/>
  <c r="J139" i="54"/>
  <c r="I139" i="54"/>
  <c r="J138" i="54"/>
  <c r="I138" i="54"/>
  <c r="J137" i="54"/>
  <c r="I137" i="54"/>
  <c r="J136" i="54"/>
  <c r="I136" i="54"/>
  <c r="J135" i="54"/>
  <c r="I135" i="54"/>
  <c r="J134" i="54"/>
  <c r="I134" i="54"/>
  <c r="J133" i="54"/>
  <c r="I133" i="54"/>
  <c r="J132" i="54"/>
  <c r="I132" i="54"/>
  <c r="J131" i="54"/>
  <c r="I131" i="54"/>
  <c r="J130" i="54"/>
  <c r="I130" i="54"/>
  <c r="J129" i="54"/>
  <c r="I129" i="54"/>
  <c r="J128" i="54"/>
  <c r="I128" i="54"/>
  <c r="J127" i="54"/>
  <c r="I127" i="54"/>
  <c r="J126" i="54"/>
  <c r="I126" i="54"/>
  <c r="J125" i="54"/>
  <c r="I125" i="54"/>
  <c r="J124" i="54"/>
  <c r="I124" i="54"/>
  <c r="J123" i="54"/>
  <c r="I123" i="54"/>
  <c r="J122" i="54"/>
  <c r="I122" i="54"/>
  <c r="J121" i="54"/>
  <c r="I121" i="54"/>
  <c r="J120" i="54"/>
  <c r="I120" i="54"/>
  <c r="J119" i="54"/>
  <c r="I119" i="54"/>
  <c r="J118" i="54"/>
  <c r="I118" i="54"/>
  <c r="J117" i="54"/>
  <c r="I117" i="54"/>
  <c r="J116" i="54"/>
  <c r="I116" i="54"/>
  <c r="J115" i="54"/>
  <c r="I115" i="54"/>
  <c r="J114" i="54"/>
  <c r="I114" i="54"/>
  <c r="J113" i="54"/>
  <c r="I113" i="54"/>
  <c r="J112" i="54"/>
  <c r="I112" i="54"/>
  <c r="J111" i="54"/>
  <c r="I111" i="54"/>
  <c r="J110" i="54"/>
  <c r="I110" i="54"/>
  <c r="J109" i="54"/>
  <c r="I109" i="54"/>
  <c r="J108" i="54"/>
  <c r="I108" i="54"/>
  <c r="J107" i="54"/>
  <c r="I107" i="54"/>
  <c r="J106" i="54"/>
  <c r="I106" i="54"/>
  <c r="J105" i="54"/>
  <c r="I105" i="54"/>
  <c r="J104" i="54"/>
  <c r="I104" i="54"/>
  <c r="J103" i="54"/>
  <c r="I103" i="54"/>
  <c r="J102" i="54"/>
  <c r="I102" i="54"/>
  <c r="J101" i="54"/>
  <c r="I101" i="54"/>
  <c r="J100" i="54"/>
  <c r="I100" i="54"/>
  <c r="J99" i="54"/>
  <c r="I99" i="54"/>
  <c r="J98" i="54"/>
  <c r="I98" i="54"/>
  <c r="J97" i="54"/>
  <c r="I97" i="54"/>
  <c r="J96" i="54"/>
  <c r="I96" i="54"/>
  <c r="J95" i="54"/>
  <c r="I95" i="54"/>
  <c r="J94" i="54"/>
  <c r="I94" i="54"/>
  <c r="J93" i="54"/>
  <c r="I93" i="54"/>
  <c r="J92" i="54"/>
  <c r="I92" i="54"/>
  <c r="J91" i="54"/>
  <c r="I91" i="54"/>
  <c r="J90" i="54"/>
  <c r="I90" i="54"/>
  <c r="J89" i="54"/>
  <c r="I89" i="54"/>
  <c r="J88" i="54"/>
  <c r="I88" i="54"/>
  <c r="J87" i="54"/>
  <c r="I87" i="54"/>
  <c r="J86" i="54"/>
  <c r="I86" i="54"/>
  <c r="J85" i="54"/>
  <c r="I85" i="54"/>
  <c r="J84" i="54"/>
  <c r="I84" i="54"/>
  <c r="J83" i="54"/>
  <c r="I83" i="54"/>
  <c r="J82" i="54"/>
  <c r="I82" i="54"/>
  <c r="J81" i="54"/>
  <c r="I81" i="54"/>
  <c r="J80" i="54"/>
  <c r="I80" i="54"/>
  <c r="J79" i="54"/>
  <c r="I79" i="54"/>
  <c r="J78" i="54"/>
  <c r="I78" i="54"/>
  <c r="J77" i="54"/>
  <c r="I77" i="54"/>
  <c r="J76" i="54"/>
  <c r="I76" i="54"/>
  <c r="J75" i="54"/>
  <c r="I75" i="54"/>
  <c r="J74" i="54"/>
  <c r="I74" i="54"/>
  <c r="J73" i="54"/>
  <c r="I73" i="54"/>
  <c r="J72" i="54"/>
  <c r="I72" i="54"/>
  <c r="J71" i="54"/>
  <c r="I71" i="54"/>
  <c r="J70" i="54"/>
  <c r="I70" i="54"/>
  <c r="J69" i="54"/>
  <c r="I69" i="54"/>
  <c r="J68" i="54"/>
  <c r="I68" i="54"/>
  <c r="J67" i="54"/>
  <c r="I67" i="54"/>
  <c r="J66" i="54"/>
  <c r="I66" i="54"/>
  <c r="J65" i="54"/>
  <c r="I65" i="54"/>
  <c r="J64" i="54"/>
  <c r="I64" i="54"/>
  <c r="J63" i="54"/>
  <c r="I63" i="54"/>
  <c r="J62" i="54"/>
  <c r="I62" i="54"/>
  <c r="J61" i="54"/>
  <c r="I61" i="54"/>
  <c r="J60" i="54"/>
  <c r="I60" i="54"/>
  <c r="J59" i="54"/>
  <c r="I59" i="54"/>
  <c r="J58" i="54"/>
  <c r="I58" i="54"/>
  <c r="J57" i="54"/>
  <c r="I57" i="54"/>
  <c r="J56" i="54"/>
  <c r="I56" i="54"/>
  <c r="J55" i="54"/>
  <c r="I55" i="54"/>
  <c r="J54" i="54"/>
  <c r="I54" i="54"/>
  <c r="J53" i="54"/>
  <c r="I53" i="54"/>
  <c r="J52" i="54"/>
  <c r="I52" i="54"/>
  <c r="J51" i="54"/>
  <c r="I51" i="54"/>
  <c r="J50" i="54"/>
  <c r="I50" i="54"/>
  <c r="J49" i="54"/>
  <c r="I49" i="54"/>
  <c r="J48" i="54"/>
  <c r="I48" i="54"/>
  <c r="J47" i="54"/>
  <c r="I47" i="54"/>
  <c r="J46" i="54"/>
  <c r="I46" i="54"/>
  <c r="J45" i="54"/>
  <c r="I45" i="54"/>
  <c r="J44" i="54"/>
  <c r="I44" i="54"/>
  <c r="J43" i="54"/>
  <c r="I43" i="54"/>
  <c r="J42" i="54"/>
  <c r="I42" i="54"/>
  <c r="J41" i="54"/>
  <c r="I41" i="54"/>
  <c r="J40" i="54"/>
  <c r="I40" i="54"/>
  <c r="J39" i="54"/>
  <c r="I39" i="54"/>
  <c r="J38" i="54"/>
  <c r="I38" i="54"/>
  <c r="J37" i="54"/>
  <c r="I37" i="54"/>
  <c r="J36" i="54"/>
  <c r="I36" i="54"/>
  <c r="J35" i="54"/>
  <c r="I35" i="54"/>
  <c r="J34" i="54"/>
  <c r="I34" i="54"/>
  <c r="J33" i="54"/>
  <c r="I33" i="54"/>
  <c r="J32" i="54"/>
  <c r="I32" i="54"/>
  <c r="J31" i="54"/>
  <c r="I31" i="54"/>
  <c r="J30" i="54"/>
  <c r="I30" i="54"/>
  <c r="J29" i="54"/>
  <c r="I29" i="54"/>
  <c r="J28" i="54"/>
  <c r="I28" i="54"/>
  <c r="J27" i="54"/>
  <c r="I27" i="54"/>
  <c r="J26" i="54"/>
  <c r="I26" i="54"/>
  <c r="J25" i="54"/>
  <c r="I25" i="54"/>
  <c r="J24" i="54"/>
  <c r="I24" i="54"/>
  <c r="J23" i="54"/>
  <c r="I23" i="54"/>
  <c r="J22" i="54"/>
  <c r="I22" i="54"/>
  <c r="J21" i="54"/>
  <c r="I21" i="54"/>
  <c r="J20" i="54"/>
  <c r="I20" i="54"/>
  <c r="J19" i="54"/>
  <c r="I19" i="54"/>
  <c r="J18" i="54"/>
  <c r="I18" i="54"/>
  <c r="J17" i="54"/>
  <c r="I17" i="54"/>
  <c r="O16" i="54"/>
  <c r="J16" i="54"/>
  <c r="I16" i="54"/>
  <c r="J15" i="54"/>
  <c r="I15" i="54"/>
  <c r="P14" i="54"/>
  <c r="N14" i="54"/>
  <c r="J14" i="54"/>
  <c r="I14" i="54"/>
  <c r="O13" i="54"/>
  <c r="J13" i="54"/>
  <c r="I13" i="54"/>
  <c r="O12" i="54"/>
  <c r="J12" i="54"/>
  <c r="I12" i="54"/>
  <c r="O11" i="54"/>
  <c r="J11" i="54"/>
  <c r="I11" i="54"/>
  <c r="O10" i="54"/>
  <c r="J10" i="54"/>
  <c r="I10" i="54"/>
  <c r="O9" i="54"/>
  <c r="J9" i="54"/>
  <c r="I9" i="54"/>
  <c r="O8" i="54"/>
  <c r="J8" i="54"/>
  <c r="I8" i="54"/>
  <c r="O7" i="54"/>
  <c r="J7" i="54"/>
  <c r="I7" i="54"/>
  <c r="O6" i="54"/>
  <c r="J6" i="54"/>
  <c r="I6" i="54"/>
  <c r="O5" i="54"/>
  <c r="J5" i="54"/>
  <c r="I5" i="54"/>
  <c r="O4" i="54"/>
  <c r="J4" i="54"/>
  <c r="I4" i="54"/>
  <c r="O3" i="54"/>
  <c r="J3" i="54"/>
  <c r="I3" i="54"/>
  <c r="J2" i="54"/>
  <c r="I2" i="54"/>
  <c r="H2" i="54"/>
  <c r="G2" i="54"/>
  <c r="G3" i="54" s="1"/>
  <c r="H3" i="54" s="1"/>
  <c r="J250" i="53"/>
  <c r="I250" i="53"/>
  <c r="J249" i="53"/>
  <c r="I249" i="53"/>
  <c r="J248" i="53"/>
  <c r="I248" i="53"/>
  <c r="J247" i="53"/>
  <c r="I247" i="53"/>
  <c r="J246" i="53"/>
  <c r="I246" i="53"/>
  <c r="J245" i="53"/>
  <c r="I245" i="53"/>
  <c r="J244" i="53"/>
  <c r="I244" i="53"/>
  <c r="J243" i="53"/>
  <c r="I243" i="53"/>
  <c r="J242" i="53"/>
  <c r="I242" i="53"/>
  <c r="J241" i="53"/>
  <c r="I241" i="53"/>
  <c r="J240" i="53"/>
  <c r="I240" i="53"/>
  <c r="J239" i="53"/>
  <c r="I239" i="53"/>
  <c r="J238" i="53"/>
  <c r="I238" i="53"/>
  <c r="J237" i="53"/>
  <c r="I237" i="53"/>
  <c r="J236" i="53"/>
  <c r="I236" i="53"/>
  <c r="J235" i="53"/>
  <c r="I235" i="53"/>
  <c r="J234" i="53"/>
  <c r="I234" i="53"/>
  <c r="J233" i="53"/>
  <c r="I233" i="53"/>
  <c r="J232" i="53"/>
  <c r="I232" i="53"/>
  <c r="J231" i="53"/>
  <c r="I231" i="53"/>
  <c r="J230" i="53"/>
  <c r="I230" i="53"/>
  <c r="J229" i="53"/>
  <c r="I229" i="53"/>
  <c r="J228" i="53"/>
  <c r="I228" i="53"/>
  <c r="J227" i="53"/>
  <c r="I227" i="53"/>
  <c r="J226" i="53"/>
  <c r="I226" i="53"/>
  <c r="J225" i="53"/>
  <c r="I225" i="53"/>
  <c r="J224" i="53"/>
  <c r="I224" i="53"/>
  <c r="J223" i="53"/>
  <c r="I223" i="53"/>
  <c r="J222" i="53"/>
  <c r="I222" i="53"/>
  <c r="J221" i="53"/>
  <c r="I221" i="53"/>
  <c r="J220" i="53"/>
  <c r="I220" i="53"/>
  <c r="J219" i="53"/>
  <c r="I219" i="53"/>
  <c r="J218" i="53"/>
  <c r="I218" i="53"/>
  <c r="J217" i="53"/>
  <c r="I217" i="53"/>
  <c r="J216" i="53"/>
  <c r="I216" i="53"/>
  <c r="J215" i="53"/>
  <c r="I215" i="53"/>
  <c r="J214" i="53"/>
  <c r="I214" i="53"/>
  <c r="J213" i="53"/>
  <c r="I213" i="53"/>
  <c r="J212" i="53"/>
  <c r="I212" i="53"/>
  <c r="J211" i="53"/>
  <c r="I211" i="53"/>
  <c r="J210" i="53"/>
  <c r="I210" i="53"/>
  <c r="J209" i="53"/>
  <c r="I209" i="53"/>
  <c r="J208" i="53"/>
  <c r="I208" i="53"/>
  <c r="J207" i="53"/>
  <c r="I207" i="53"/>
  <c r="J206" i="53"/>
  <c r="I206" i="53"/>
  <c r="J205" i="53"/>
  <c r="I205" i="53"/>
  <c r="J204" i="53"/>
  <c r="I204" i="53"/>
  <c r="J203" i="53"/>
  <c r="I203" i="53"/>
  <c r="J202" i="53"/>
  <c r="I202" i="53"/>
  <c r="J201" i="53"/>
  <c r="I201" i="53"/>
  <c r="J200" i="53"/>
  <c r="I200" i="53"/>
  <c r="J199" i="53"/>
  <c r="I199" i="53"/>
  <c r="J198" i="53"/>
  <c r="I198" i="53"/>
  <c r="J197" i="53"/>
  <c r="I197" i="53"/>
  <c r="J196" i="53"/>
  <c r="I196" i="53"/>
  <c r="J195" i="53"/>
  <c r="I195" i="53"/>
  <c r="J194" i="53"/>
  <c r="I194" i="53"/>
  <c r="J193" i="53"/>
  <c r="I193" i="53"/>
  <c r="J192" i="53"/>
  <c r="I192" i="53"/>
  <c r="J191" i="53"/>
  <c r="I191" i="53"/>
  <c r="J190" i="53"/>
  <c r="I190" i="53"/>
  <c r="J189" i="53"/>
  <c r="I189" i="53"/>
  <c r="J188" i="53"/>
  <c r="I188" i="53"/>
  <c r="J187" i="53"/>
  <c r="I187" i="53"/>
  <c r="J186" i="53"/>
  <c r="I186" i="53"/>
  <c r="J185" i="53"/>
  <c r="I185" i="53"/>
  <c r="J184" i="53"/>
  <c r="I184" i="53"/>
  <c r="J183" i="53"/>
  <c r="I183" i="53"/>
  <c r="J182" i="53"/>
  <c r="I182" i="53"/>
  <c r="J181" i="53"/>
  <c r="I181" i="53"/>
  <c r="J180" i="53"/>
  <c r="I180" i="53"/>
  <c r="J179" i="53"/>
  <c r="I179" i="53"/>
  <c r="J178" i="53"/>
  <c r="I178" i="53"/>
  <c r="J177" i="53"/>
  <c r="I177" i="53"/>
  <c r="J176" i="53"/>
  <c r="I176" i="53"/>
  <c r="J175" i="53"/>
  <c r="I175" i="53"/>
  <c r="J174" i="53"/>
  <c r="I174" i="53"/>
  <c r="J173" i="53"/>
  <c r="I173" i="53"/>
  <c r="J172" i="53"/>
  <c r="I172" i="53"/>
  <c r="J171" i="53"/>
  <c r="I171" i="53"/>
  <c r="J170" i="53"/>
  <c r="I170" i="53"/>
  <c r="J169" i="53"/>
  <c r="I169" i="53"/>
  <c r="J168" i="53"/>
  <c r="I168" i="53"/>
  <c r="J167" i="53"/>
  <c r="I167" i="53"/>
  <c r="J166" i="53"/>
  <c r="I166" i="53"/>
  <c r="J165" i="53"/>
  <c r="I165" i="53"/>
  <c r="J164" i="53"/>
  <c r="I164" i="53"/>
  <c r="J163" i="53"/>
  <c r="I163" i="53"/>
  <c r="J162" i="53"/>
  <c r="I162" i="53"/>
  <c r="J161" i="53"/>
  <c r="I161" i="53"/>
  <c r="J160" i="53"/>
  <c r="I160" i="53"/>
  <c r="J159" i="53"/>
  <c r="I159" i="53"/>
  <c r="J158" i="53"/>
  <c r="I158" i="53"/>
  <c r="J157" i="53"/>
  <c r="I157" i="53"/>
  <c r="J156" i="53"/>
  <c r="I156" i="53"/>
  <c r="J155" i="53"/>
  <c r="I155" i="53"/>
  <c r="J154" i="53"/>
  <c r="I154" i="53"/>
  <c r="J153" i="53"/>
  <c r="I153" i="53"/>
  <c r="J152" i="53"/>
  <c r="I152" i="53"/>
  <c r="J151" i="53"/>
  <c r="I151" i="53"/>
  <c r="J150" i="53"/>
  <c r="I150" i="53"/>
  <c r="J149" i="53"/>
  <c r="I149" i="53"/>
  <c r="J148" i="53"/>
  <c r="I148" i="53"/>
  <c r="J147" i="53"/>
  <c r="I147" i="53"/>
  <c r="J146" i="53"/>
  <c r="I146" i="53"/>
  <c r="J145" i="53"/>
  <c r="I145" i="53"/>
  <c r="J144" i="53"/>
  <c r="I144" i="53"/>
  <c r="J143" i="53"/>
  <c r="I143" i="53"/>
  <c r="J142" i="53"/>
  <c r="I142" i="53"/>
  <c r="J141" i="53"/>
  <c r="I141" i="53"/>
  <c r="J140" i="53"/>
  <c r="I140" i="53"/>
  <c r="J139" i="53"/>
  <c r="I139" i="53"/>
  <c r="J138" i="53"/>
  <c r="I138" i="53"/>
  <c r="J137" i="53"/>
  <c r="I137" i="53"/>
  <c r="J136" i="53"/>
  <c r="I136" i="53"/>
  <c r="J135" i="53"/>
  <c r="I135" i="53"/>
  <c r="J134" i="53"/>
  <c r="I134" i="53"/>
  <c r="J133" i="53"/>
  <c r="I133" i="53"/>
  <c r="J132" i="53"/>
  <c r="I132" i="53"/>
  <c r="J131" i="53"/>
  <c r="I131" i="53"/>
  <c r="J130" i="53"/>
  <c r="I130" i="53"/>
  <c r="J129" i="53"/>
  <c r="I129" i="53"/>
  <c r="J128" i="53"/>
  <c r="I128" i="53"/>
  <c r="J127" i="53"/>
  <c r="I127" i="53"/>
  <c r="J126" i="53"/>
  <c r="I126" i="53"/>
  <c r="J125" i="53"/>
  <c r="I125" i="53"/>
  <c r="J124" i="53"/>
  <c r="I124" i="53"/>
  <c r="J123" i="53"/>
  <c r="I123" i="53"/>
  <c r="J122" i="53"/>
  <c r="I122" i="53"/>
  <c r="J121" i="53"/>
  <c r="I121" i="53"/>
  <c r="J120" i="53"/>
  <c r="I120" i="53"/>
  <c r="J119" i="53"/>
  <c r="I119" i="53"/>
  <c r="J118" i="53"/>
  <c r="I118" i="53"/>
  <c r="J117" i="53"/>
  <c r="I117" i="53"/>
  <c r="J116" i="53"/>
  <c r="I116" i="53"/>
  <c r="J115" i="53"/>
  <c r="I115" i="53"/>
  <c r="J114" i="53"/>
  <c r="I114" i="53"/>
  <c r="J113" i="53"/>
  <c r="I113" i="53"/>
  <c r="J112" i="53"/>
  <c r="I112" i="53"/>
  <c r="J111" i="53"/>
  <c r="I111" i="53"/>
  <c r="J110" i="53"/>
  <c r="I110" i="53"/>
  <c r="J109" i="53"/>
  <c r="I109" i="53"/>
  <c r="J108" i="53"/>
  <c r="I108" i="53"/>
  <c r="J107" i="53"/>
  <c r="I107" i="53"/>
  <c r="J106" i="53"/>
  <c r="I106" i="53"/>
  <c r="J105" i="53"/>
  <c r="I105" i="53"/>
  <c r="J104" i="53"/>
  <c r="I104" i="53"/>
  <c r="J103" i="53"/>
  <c r="I103" i="53"/>
  <c r="J102" i="53"/>
  <c r="I102" i="53"/>
  <c r="J101" i="53"/>
  <c r="I101" i="53"/>
  <c r="J100" i="53"/>
  <c r="I100" i="53"/>
  <c r="J99" i="53"/>
  <c r="I99" i="53"/>
  <c r="J98" i="53"/>
  <c r="I98" i="53"/>
  <c r="J97" i="53"/>
  <c r="I97" i="53"/>
  <c r="J96" i="53"/>
  <c r="I96" i="53"/>
  <c r="J95" i="53"/>
  <c r="I95" i="53"/>
  <c r="J94" i="53"/>
  <c r="I94" i="53"/>
  <c r="J93" i="53"/>
  <c r="I93" i="53"/>
  <c r="J92" i="53"/>
  <c r="I92" i="53"/>
  <c r="J91" i="53"/>
  <c r="I91" i="53"/>
  <c r="J90" i="53"/>
  <c r="I90" i="53"/>
  <c r="J89" i="53"/>
  <c r="I89" i="53"/>
  <c r="J88" i="53"/>
  <c r="I88" i="53"/>
  <c r="J87" i="53"/>
  <c r="I87" i="53"/>
  <c r="J86" i="53"/>
  <c r="I86" i="53"/>
  <c r="J85" i="53"/>
  <c r="I85" i="53"/>
  <c r="J84" i="53"/>
  <c r="I84" i="53"/>
  <c r="J83" i="53"/>
  <c r="I83" i="53"/>
  <c r="J82" i="53"/>
  <c r="I82" i="53"/>
  <c r="J81" i="53"/>
  <c r="I81" i="53"/>
  <c r="J80" i="53"/>
  <c r="I80" i="53"/>
  <c r="J79" i="53"/>
  <c r="I79" i="53"/>
  <c r="J78" i="53"/>
  <c r="I78" i="53"/>
  <c r="J77" i="53"/>
  <c r="I77" i="53"/>
  <c r="J76" i="53"/>
  <c r="I76" i="53"/>
  <c r="J75" i="53"/>
  <c r="I75" i="53"/>
  <c r="J74" i="53"/>
  <c r="I74" i="53"/>
  <c r="J73" i="53"/>
  <c r="I73" i="53"/>
  <c r="J72" i="53"/>
  <c r="I72" i="53"/>
  <c r="J71" i="53"/>
  <c r="I71" i="53"/>
  <c r="J70" i="53"/>
  <c r="I70" i="53"/>
  <c r="J69" i="53"/>
  <c r="I69" i="53"/>
  <c r="J68" i="53"/>
  <c r="I68" i="53"/>
  <c r="J67" i="53"/>
  <c r="I67" i="53"/>
  <c r="J66" i="53"/>
  <c r="I66" i="53"/>
  <c r="J65" i="53"/>
  <c r="I65" i="53"/>
  <c r="J64" i="53"/>
  <c r="I64" i="53"/>
  <c r="J63" i="53"/>
  <c r="I63" i="53"/>
  <c r="J62" i="53"/>
  <c r="I62" i="53"/>
  <c r="J61" i="53"/>
  <c r="I61" i="53"/>
  <c r="J60" i="53"/>
  <c r="I60" i="53"/>
  <c r="J59" i="53"/>
  <c r="I59" i="53"/>
  <c r="J58" i="53"/>
  <c r="I58" i="53"/>
  <c r="J57" i="53"/>
  <c r="I57" i="53"/>
  <c r="J56" i="53"/>
  <c r="I56" i="53"/>
  <c r="J55" i="53"/>
  <c r="I55" i="53"/>
  <c r="J54" i="53"/>
  <c r="I54" i="53"/>
  <c r="J53" i="53"/>
  <c r="I53" i="53"/>
  <c r="J52" i="53"/>
  <c r="I52" i="53"/>
  <c r="J51" i="53"/>
  <c r="I51" i="53"/>
  <c r="J50" i="53"/>
  <c r="I50" i="53"/>
  <c r="G50" i="53"/>
  <c r="G51" i="53" s="1"/>
  <c r="J49" i="53"/>
  <c r="I49" i="53"/>
  <c r="G49" i="53"/>
  <c r="H49" i="53" s="1"/>
  <c r="J48" i="53"/>
  <c r="I48" i="53"/>
  <c r="J47" i="53"/>
  <c r="I47" i="53"/>
  <c r="G47" i="53"/>
  <c r="H47" i="53" s="1"/>
  <c r="J46" i="53"/>
  <c r="I46" i="53"/>
  <c r="J45" i="53"/>
  <c r="I45" i="53"/>
  <c r="G45" i="53"/>
  <c r="G46" i="53" s="1"/>
  <c r="H46" i="53" s="1"/>
  <c r="J44" i="53"/>
  <c r="I44" i="53"/>
  <c r="J43" i="53"/>
  <c r="I43" i="53"/>
  <c r="G43" i="53"/>
  <c r="G44" i="53" s="1"/>
  <c r="H44" i="53" s="1"/>
  <c r="J42" i="53"/>
  <c r="I42" i="53"/>
  <c r="J41" i="53"/>
  <c r="I41" i="53"/>
  <c r="G41" i="53"/>
  <c r="H41" i="53" s="1"/>
  <c r="J40" i="53"/>
  <c r="I40" i="53"/>
  <c r="J39" i="53"/>
  <c r="I39" i="53"/>
  <c r="G39" i="53"/>
  <c r="G40" i="53" s="1"/>
  <c r="H40" i="53" s="1"/>
  <c r="J38" i="53"/>
  <c r="I38" i="53"/>
  <c r="G38" i="53"/>
  <c r="H38" i="53" s="1"/>
  <c r="J37" i="53"/>
  <c r="I37" i="53"/>
  <c r="J36" i="53"/>
  <c r="I36" i="53"/>
  <c r="G36" i="53"/>
  <c r="H36" i="53" s="1"/>
  <c r="J35" i="53"/>
  <c r="I35" i="53"/>
  <c r="G35" i="53"/>
  <c r="H35" i="53" s="1"/>
  <c r="J34" i="53"/>
  <c r="I34" i="53"/>
  <c r="J33" i="53"/>
  <c r="I33" i="53"/>
  <c r="G33" i="53"/>
  <c r="H33" i="53" s="1"/>
  <c r="J32" i="53"/>
  <c r="I32" i="53"/>
  <c r="J31" i="53"/>
  <c r="I31" i="53"/>
  <c r="J30" i="53"/>
  <c r="I30" i="53"/>
  <c r="J29" i="53"/>
  <c r="I29" i="53"/>
  <c r="G29" i="53"/>
  <c r="G30" i="53" s="1"/>
  <c r="H30" i="53" s="1"/>
  <c r="J28" i="53"/>
  <c r="I28" i="53"/>
  <c r="G28" i="53"/>
  <c r="H28" i="53" s="1"/>
  <c r="J27" i="53"/>
  <c r="I27" i="53"/>
  <c r="J26" i="53"/>
  <c r="I26" i="53"/>
  <c r="G26" i="53"/>
  <c r="G27" i="53" s="1"/>
  <c r="H27" i="53" s="1"/>
  <c r="J25" i="53"/>
  <c r="I25" i="53"/>
  <c r="J24" i="53"/>
  <c r="I24" i="53"/>
  <c r="J23" i="53"/>
  <c r="I23" i="53"/>
  <c r="J22" i="53"/>
  <c r="I22" i="53"/>
  <c r="G22" i="53"/>
  <c r="H22" i="53" s="1"/>
  <c r="J21" i="53"/>
  <c r="I21" i="53"/>
  <c r="G21" i="53"/>
  <c r="H21" i="53" s="1"/>
  <c r="J20" i="53"/>
  <c r="I20" i="53"/>
  <c r="G20" i="53"/>
  <c r="H20" i="53" s="1"/>
  <c r="J19" i="53"/>
  <c r="I19" i="53"/>
  <c r="G19" i="53"/>
  <c r="H19" i="53" s="1"/>
  <c r="J18" i="53"/>
  <c r="I18" i="53"/>
  <c r="G18" i="53"/>
  <c r="H18" i="53" s="1"/>
  <c r="J17" i="53"/>
  <c r="I17" i="53"/>
  <c r="G17" i="53"/>
  <c r="H17" i="53" s="1"/>
  <c r="O16" i="53"/>
  <c r="J16" i="53"/>
  <c r="I16" i="53"/>
  <c r="J15" i="53"/>
  <c r="I15" i="53"/>
  <c r="G15" i="53"/>
  <c r="H15" i="53" s="1"/>
  <c r="P14" i="53"/>
  <c r="N14" i="53"/>
  <c r="J14" i="53"/>
  <c r="I14" i="53"/>
  <c r="O13" i="53"/>
  <c r="J13" i="53"/>
  <c r="I13" i="53"/>
  <c r="G13" i="53"/>
  <c r="G14" i="53" s="1"/>
  <c r="H14" i="53" s="1"/>
  <c r="O12" i="53"/>
  <c r="J12" i="53"/>
  <c r="I12" i="53"/>
  <c r="O11" i="53"/>
  <c r="J11" i="53"/>
  <c r="I11" i="53"/>
  <c r="G11" i="53"/>
  <c r="G12" i="53" s="1"/>
  <c r="H12" i="53" s="1"/>
  <c r="O10" i="53"/>
  <c r="J10" i="53"/>
  <c r="I10" i="53"/>
  <c r="G10" i="53"/>
  <c r="H10" i="53" s="1"/>
  <c r="O9" i="53"/>
  <c r="J9" i="53"/>
  <c r="I9" i="53"/>
  <c r="O8" i="53"/>
  <c r="J8" i="53"/>
  <c r="I8" i="53"/>
  <c r="G8" i="53"/>
  <c r="G9" i="53" s="1"/>
  <c r="H9" i="53" s="1"/>
  <c r="O7" i="53"/>
  <c r="J7" i="53"/>
  <c r="I7" i="53"/>
  <c r="O6" i="53"/>
  <c r="J6" i="53"/>
  <c r="I6" i="53"/>
  <c r="G6" i="53"/>
  <c r="G7" i="53" s="1"/>
  <c r="H7" i="53" s="1"/>
  <c r="O5" i="53"/>
  <c r="J5" i="53"/>
  <c r="I5" i="53"/>
  <c r="O4" i="53"/>
  <c r="J4" i="53"/>
  <c r="I4" i="53"/>
  <c r="G4" i="53"/>
  <c r="G5" i="53" s="1"/>
  <c r="H5" i="53" s="1"/>
  <c r="O3" i="53"/>
  <c r="J3" i="53"/>
  <c r="I3" i="53"/>
  <c r="G3" i="53"/>
  <c r="H3" i="53" s="1"/>
  <c r="J2" i="53"/>
  <c r="I2" i="53"/>
  <c r="H2" i="53"/>
  <c r="G2" i="53"/>
  <c r="J250" i="28"/>
  <c r="I250" i="28"/>
  <c r="J249" i="28"/>
  <c r="I249" i="28"/>
  <c r="J248" i="28"/>
  <c r="I248" i="28"/>
  <c r="J247" i="28"/>
  <c r="I247" i="28"/>
  <c r="J246" i="28"/>
  <c r="I246" i="28"/>
  <c r="J245" i="28"/>
  <c r="I245" i="28"/>
  <c r="J244" i="28"/>
  <c r="I244" i="28"/>
  <c r="J243" i="28"/>
  <c r="I243" i="28"/>
  <c r="J242" i="28"/>
  <c r="I242" i="28"/>
  <c r="J241" i="28"/>
  <c r="I241" i="28"/>
  <c r="J240" i="28"/>
  <c r="I240" i="28"/>
  <c r="J239" i="28"/>
  <c r="I239" i="28"/>
  <c r="J238" i="28"/>
  <c r="I238" i="28"/>
  <c r="J237" i="28"/>
  <c r="I237" i="28"/>
  <c r="J236" i="28"/>
  <c r="I236" i="28"/>
  <c r="J235" i="28"/>
  <c r="I235" i="28"/>
  <c r="J234" i="28"/>
  <c r="I234" i="28"/>
  <c r="J233" i="28"/>
  <c r="I233" i="28"/>
  <c r="J232" i="28"/>
  <c r="I232" i="28"/>
  <c r="J231" i="28"/>
  <c r="I231" i="28"/>
  <c r="J230" i="28"/>
  <c r="I230" i="28"/>
  <c r="J229" i="28"/>
  <c r="I229" i="28"/>
  <c r="J228" i="28"/>
  <c r="I228" i="28"/>
  <c r="J227" i="28"/>
  <c r="I227" i="28"/>
  <c r="J226" i="28"/>
  <c r="I226" i="28"/>
  <c r="J225" i="28"/>
  <c r="I225" i="28"/>
  <c r="J224" i="28"/>
  <c r="I224" i="28"/>
  <c r="J223" i="28"/>
  <c r="I223" i="28"/>
  <c r="J222" i="28"/>
  <c r="I222" i="28"/>
  <c r="J221" i="28"/>
  <c r="I221" i="28"/>
  <c r="J220" i="28"/>
  <c r="I220" i="28"/>
  <c r="J219" i="28"/>
  <c r="I219" i="28"/>
  <c r="J218" i="28"/>
  <c r="I218" i="28"/>
  <c r="J217" i="28"/>
  <c r="I217" i="28"/>
  <c r="J216" i="28"/>
  <c r="I216" i="28"/>
  <c r="J215" i="28"/>
  <c r="I215" i="28"/>
  <c r="J214" i="28"/>
  <c r="I214" i="28"/>
  <c r="J213" i="28"/>
  <c r="I213" i="28"/>
  <c r="J212" i="28"/>
  <c r="I212" i="28"/>
  <c r="J211" i="28"/>
  <c r="I211" i="28"/>
  <c r="J210" i="28"/>
  <c r="I210" i="28"/>
  <c r="J209" i="28"/>
  <c r="I209" i="28"/>
  <c r="J208" i="28"/>
  <c r="I208" i="28"/>
  <c r="J207" i="28"/>
  <c r="I207" i="28"/>
  <c r="J206" i="28"/>
  <c r="I206" i="28"/>
  <c r="J205" i="28"/>
  <c r="I205" i="28"/>
  <c r="J204" i="28"/>
  <c r="I204" i="28"/>
  <c r="J203" i="28"/>
  <c r="I203" i="28"/>
  <c r="J202" i="28"/>
  <c r="I202" i="28"/>
  <c r="J201" i="28"/>
  <c r="I201" i="28"/>
  <c r="J200" i="28"/>
  <c r="I200" i="28"/>
  <c r="J199" i="28"/>
  <c r="I199" i="28"/>
  <c r="J198" i="28"/>
  <c r="I198" i="28"/>
  <c r="J197" i="28"/>
  <c r="I197" i="28"/>
  <c r="J196" i="28"/>
  <c r="I196" i="28"/>
  <c r="J195" i="28"/>
  <c r="I195" i="28"/>
  <c r="J194" i="28"/>
  <c r="I194" i="28"/>
  <c r="J193" i="28"/>
  <c r="I193" i="28"/>
  <c r="J192" i="28"/>
  <c r="I192" i="28"/>
  <c r="J191" i="28"/>
  <c r="I191" i="28"/>
  <c r="J190" i="28"/>
  <c r="I190" i="28"/>
  <c r="J189" i="28"/>
  <c r="I189" i="28"/>
  <c r="J188" i="28"/>
  <c r="I188" i="28"/>
  <c r="J187" i="28"/>
  <c r="I187" i="28"/>
  <c r="J186" i="28"/>
  <c r="I186" i="28"/>
  <c r="J185" i="28"/>
  <c r="I185" i="28"/>
  <c r="J184" i="28"/>
  <c r="I184" i="28"/>
  <c r="J183" i="28"/>
  <c r="I183" i="28"/>
  <c r="J182" i="28"/>
  <c r="I182" i="28"/>
  <c r="J181" i="28"/>
  <c r="I181" i="28"/>
  <c r="J180" i="28"/>
  <c r="I180" i="28"/>
  <c r="J179" i="28"/>
  <c r="I179" i="28"/>
  <c r="J178" i="28"/>
  <c r="I178" i="28"/>
  <c r="J177" i="28"/>
  <c r="I177" i="28"/>
  <c r="J176" i="28"/>
  <c r="I176" i="28"/>
  <c r="J175" i="28"/>
  <c r="I175" i="28"/>
  <c r="J174" i="28"/>
  <c r="I174" i="28"/>
  <c r="J173" i="28"/>
  <c r="I173" i="28"/>
  <c r="J172" i="28"/>
  <c r="I172" i="28"/>
  <c r="J171" i="28"/>
  <c r="I171" i="28"/>
  <c r="J170" i="28"/>
  <c r="I170" i="28"/>
  <c r="J169" i="28"/>
  <c r="I169" i="28"/>
  <c r="J168" i="28"/>
  <c r="I168" i="28"/>
  <c r="J167" i="28"/>
  <c r="I167" i="28"/>
  <c r="J166" i="28"/>
  <c r="I166" i="28"/>
  <c r="J165" i="28"/>
  <c r="I165" i="28"/>
  <c r="J164" i="28"/>
  <c r="I164" i="28"/>
  <c r="J163" i="28"/>
  <c r="I163" i="28"/>
  <c r="J162" i="28"/>
  <c r="I162" i="28"/>
  <c r="J161" i="28"/>
  <c r="I161" i="28"/>
  <c r="J160" i="28"/>
  <c r="I160" i="28"/>
  <c r="J159" i="28"/>
  <c r="I159" i="28"/>
  <c r="J158" i="28"/>
  <c r="I158" i="28"/>
  <c r="J157" i="28"/>
  <c r="I157" i="28"/>
  <c r="J156" i="28"/>
  <c r="I156" i="28"/>
  <c r="J155" i="28"/>
  <c r="I155" i="28"/>
  <c r="J154" i="28"/>
  <c r="I154" i="28"/>
  <c r="J153" i="28"/>
  <c r="I153" i="28"/>
  <c r="J152" i="28"/>
  <c r="I152" i="28"/>
  <c r="J151" i="28"/>
  <c r="I151" i="28"/>
  <c r="J150" i="28"/>
  <c r="I150" i="28"/>
  <c r="J149" i="28"/>
  <c r="I149" i="28"/>
  <c r="J148" i="28"/>
  <c r="I148" i="28"/>
  <c r="J147" i="28"/>
  <c r="I147" i="28"/>
  <c r="J146" i="28"/>
  <c r="I146" i="28"/>
  <c r="J145" i="28"/>
  <c r="I145" i="28"/>
  <c r="J144" i="28"/>
  <c r="I144" i="28"/>
  <c r="J143" i="28"/>
  <c r="I143" i="28"/>
  <c r="J142" i="28"/>
  <c r="I142" i="28"/>
  <c r="J141" i="28"/>
  <c r="I141" i="28"/>
  <c r="J140" i="28"/>
  <c r="I140" i="28"/>
  <c r="J139" i="28"/>
  <c r="I139" i="28"/>
  <c r="J138" i="28"/>
  <c r="I138" i="28"/>
  <c r="J137" i="28"/>
  <c r="I137" i="28"/>
  <c r="J136" i="28"/>
  <c r="I136" i="28"/>
  <c r="J135" i="28"/>
  <c r="I135" i="28"/>
  <c r="J134" i="28"/>
  <c r="I134" i="28"/>
  <c r="J133" i="28"/>
  <c r="I133" i="28"/>
  <c r="J132" i="28"/>
  <c r="I132" i="28"/>
  <c r="J131" i="28"/>
  <c r="I131" i="28"/>
  <c r="J130" i="28"/>
  <c r="I130" i="28"/>
  <c r="J129" i="28"/>
  <c r="I129" i="28"/>
  <c r="J128" i="28"/>
  <c r="I128" i="28"/>
  <c r="J127" i="28"/>
  <c r="I127" i="28"/>
  <c r="J126" i="28"/>
  <c r="I126" i="28"/>
  <c r="J125" i="28"/>
  <c r="I125" i="28"/>
  <c r="J124" i="28"/>
  <c r="I124" i="28"/>
  <c r="J123" i="28"/>
  <c r="I123" i="28"/>
  <c r="J122" i="28"/>
  <c r="I122" i="28"/>
  <c r="J121" i="28"/>
  <c r="I121" i="28"/>
  <c r="J120" i="28"/>
  <c r="I120" i="28"/>
  <c r="J119" i="28"/>
  <c r="I119" i="28"/>
  <c r="J118" i="28"/>
  <c r="I118" i="28"/>
  <c r="J117" i="28"/>
  <c r="I117" i="28"/>
  <c r="J116" i="28"/>
  <c r="I116" i="28"/>
  <c r="J115" i="28"/>
  <c r="I115" i="28"/>
  <c r="J114" i="28"/>
  <c r="I114" i="28"/>
  <c r="J113" i="28"/>
  <c r="I113" i="28"/>
  <c r="J112" i="28"/>
  <c r="I112" i="28"/>
  <c r="J111" i="28"/>
  <c r="I111" i="28"/>
  <c r="J110" i="28"/>
  <c r="I110" i="28"/>
  <c r="J109" i="28"/>
  <c r="I109" i="28"/>
  <c r="J108" i="28"/>
  <c r="I108" i="28"/>
  <c r="J107" i="28"/>
  <c r="I107" i="28"/>
  <c r="J106" i="28"/>
  <c r="I106" i="28"/>
  <c r="J105" i="28"/>
  <c r="I105" i="28"/>
  <c r="J104" i="28"/>
  <c r="I104" i="28"/>
  <c r="J103" i="28"/>
  <c r="I103" i="28"/>
  <c r="J102" i="28"/>
  <c r="I102" i="28"/>
  <c r="J101" i="28"/>
  <c r="I101" i="28"/>
  <c r="J100" i="28"/>
  <c r="I100" i="28"/>
  <c r="J99" i="28"/>
  <c r="I99" i="28"/>
  <c r="J98" i="28"/>
  <c r="I98" i="28"/>
  <c r="J97" i="28"/>
  <c r="I97" i="28"/>
  <c r="J96" i="28"/>
  <c r="I96" i="28"/>
  <c r="J95" i="28"/>
  <c r="I95" i="28"/>
  <c r="J94" i="28"/>
  <c r="I94" i="28"/>
  <c r="J93" i="28"/>
  <c r="I93" i="28"/>
  <c r="J92" i="28"/>
  <c r="I92" i="28"/>
  <c r="J91" i="28"/>
  <c r="I91" i="28"/>
  <c r="J90" i="28"/>
  <c r="I90" i="28"/>
  <c r="J89" i="28"/>
  <c r="I89" i="28"/>
  <c r="J88" i="28"/>
  <c r="I88" i="28"/>
  <c r="J87" i="28"/>
  <c r="I87" i="28"/>
  <c r="J86" i="28"/>
  <c r="I86" i="28"/>
  <c r="J85" i="28"/>
  <c r="I85" i="28"/>
  <c r="J84" i="28"/>
  <c r="I84" i="28"/>
  <c r="J83" i="28"/>
  <c r="I83" i="28"/>
  <c r="J82" i="28"/>
  <c r="I82" i="28"/>
  <c r="J81" i="28"/>
  <c r="I81" i="28"/>
  <c r="J80" i="28"/>
  <c r="I80" i="28"/>
  <c r="J79" i="28"/>
  <c r="I79" i="28"/>
  <c r="J78" i="28"/>
  <c r="I78" i="28"/>
  <c r="J77" i="28"/>
  <c r="I77" i="28"/>
  <c r="J76" i="28"/>
  <c r="I76" i="28"/>
  <c r="J75" i="28"/>
  <c r="I75" i="28"/>
  <c r="J74" i="28"/>
  <c r="I74" i="28"/>
  <c r="J73" i="28"/>
  <c r="I73" i="28"/>
  <c r="J72" i="28"/>
  <c r="I72" i="28"/>
  <c r="J71" i="28"/>
  <c r="I71" i="28"/>
  <c r="J70" i="28"/>
  <c r="I70" i="28"/>
  <c r="J69" i="28"/>
  <c r="I69" i="28"/>
  <c r="J68" i="28"/>
  <c r="I68" i="28"/>
  <c r="J67" i="28"/>
  <c r="I67" i="28"/>
  <c r="J66" i="28"/>
  <c r="I66" i="28"/>
  <c r="J65" i="28"/>
  <c r="I65" i="28"/>
  <c r="J64" i="28"/>
  <c r="I64" i="28"/>
  <c r="J63" i="28"/>
  <c r="I63" i="28"/>
  <c r="J62" i="28"/>
  <c r="I62" i="28"/>
  <c r="J61" i="28"/>
  <c r="I61" i="28"/>
  <c r="J60" i="28"/>
  <c r="I60" i="28"/>
  <c r="J59" i="28"/>
  <c r="I59" i="28"/>
  <c r="J58" i="28"/>
  <c r="I58" i="28"/>
  <c r="J57" i="28"/>
  <c r="I57" i="28"/>
  <c r="J56" i="28"/>
  <c r="I56" i="28"/>
  <c r="J55" i="28"/>
  <c r="I55" i="28"/>
  <c r="J54" i="28"/>
  <c r="I54" i="28"/>
  <c r="J53" i="28"/>
  <c r="I53" i="28"/>
  <c r="J52" i="28"/>
  <c r="I52" i="28"/>
  <c r="J51" i="28"/>
  <c r="I51" i="28"/>
  <c r="J50" i="28"/>
  <c r="I50" i="28"/>
  <c r="J49" i="28"/>
  <c r="I49" i="28"/>
  <c r="J48" i="28"/>
  <c r="I48" i="28"/>
  <c r="J47" i="28"/>
  <c r="I47" i="28"/>
  <c r="G47" i="28"/>
  <c r="G48" i="28" s="1"/>
  <c r="H48" i="28" s="1"/>
  <c r="J46" i="28"/>
  <c r="I46" i="28"/>
  <c r="J45" i="28"/>
  <c r="I45" i="28"/>
  <c r="G45" i="28"/>
  <c r="H45" i="28" s="1"/>
  <c r="J44" i="28"/>
  <c r="I44" i="28"/>
  <c r="J43" i="28"/>
  <c r="I43" i="28"/>
  <c r="G43" i="28"/>
  <c r="H43" i="28" s="1"/>
  <c r="J42" i="28"/>
  <c r="I42" i="28"/>
  <c r="J41" i="28"/>
  <c r="I41" i="28"/>
  <c r="G41" i="28"/>
  <c r="H41" i="28" s="1"/>
  <c r="J40" i="28"/>
  <c r="I40" i="28"/>
  <c r="J39" i="28"/>
  <c r="I39" i="28"/>
  <c r="J38" i="28"/>
  <c r="I38" i="28"/>
  <c r="J37" i="28"/>
  <c r="I37" i="28"/>
  <c r="J36" i="28"/>
  <c r="I36" i="28"/>
  <c r="J35" i="28"/>
  <c r="I35" i="28"/>
  <c r="J34" i="28"/>
  <c r="I34" i="28"/>
  <c r="J33" i="28"/>
  <c r="I33" i="28"/>
  <c r="J32" i="28"/>
  <c r="I32" i="28"/>
  <c r="J31" i="28"/>
  <c r="I31" i="28"/>
  <c r="J30" i="28"/>
  <c r="I30" i="28"/>
  <c r="J29" i="28"/>
  <c r="I29" i="28"/>
  <c r="G29" i="28"/>
  <c r="H29" i="28" s="1"/>
  <c r="J28" i="28"/>
  <c r="I28" i="28"/>
  <c r="G28" i="28"/>
  <c r="H28" i="28" s="1"/>
  <c r="J27" i="28"/>
  <c r="I27" i="28"/>
  <c r="J26" i="28"/>
  <c r="I26" i="28"/>
  <c r="J25" i="28"/>
  <c r="I25" i="28"/>
  <c r="J24" i="28"/>
  <c r="I24" i="28"/>
  <c r="J23" i="28"/>
  <c r="I23" i="28"/>
  <c r="J22" i="28"/>
  <c r="I22" i="28"/>
  <c r="G22" i="28"/>
  <c r="J21" i="28"/>
  <c r="I21" i="28"/>
  <c r="G21" i="28"/>
  <c r="H21" i="28" s="1"/>
  <c r="J20" i="28"/>
  <c r="I20" i="28"/>
  <c r="G20" i="28"/>
  <c r="H20" i="28" s="1"/>
  <c r="J19" i="28"/>
  <c r="I19" i="28"/>
  <c r="G19" i="28"/>
  <c r="H19" i="28" s="1"/>
  <c r="J18" i="28"/>
  <c r="I18" i="28"/>
  <c r="G18" i="28"/>
  <c r="H18" i="28" s="1"/>
  <c r="J17" i="28"/>
  <c r="I17" i="28"/>
  <c r="G17" i="28"/>
  <c r="H17" i="28" s="1"/>
  <c r="O16" i="28"/>
  <c r="J16" i="28"/>
  <c r="I16" i="28"/>
  <c r="J15" i="28"/>
  <c r="I15" i="28"/>
  <c r="G15" i="28"/>
  <c r="H15" i="28" s="1"/>
  <c r="P14" i="28"/>
  <c r="N14" i="28"/>
  <c r="J14" i="28"/>
  <c r="I14" i="28"/>
  <c r="O13" i="28"/>
  <c r="J13" i="28"/>
  <c r="I13" i="28"/>
  <c r="G13" i="28"/>
  <c r="H13" i="28" s="1"/>
  <c r="O12" i="28"/>
  <c r="J12" i="28"/>
  <c r="I12" i="28"/>
  <c r="O11" i="28"/>
  <c r="J11" i="28"/>
  <c r="I11" i="28"/>
  <c r="G11" i="28"/>
  <c r="H11" i="28" s="1"/>
  <c r="O10" i="28"/>
  <c r="J10" i="28"/>
  <c r="I10" i="28"/>
  <c r="G10" i="28"/>
  <c r="H10" i="28" s="1"/>
  <c r="O9" i="28"/>
  <c r="J9" i="28"/>
  <c r="I9" i="28"/>
  <c r="O8" i="28"/>
  <c r="J8" i="28"/>
  <c r="I8" i="28"/>
  <c r="G8" i="28"/>
  <c r="G9" i="28" s="1"/>
  <c r="H9" i="28" s="1"/>
  <c r="O7" i="28"/>
  <c r="J7" i="28"/>
  <c r="I7" i="28"/>
  <c r="O6" i="28"/>
  <c r="J6" i="28"/>
  <c r="I6" i="28"/>
  <c r="G6" i="28"/>
  <c r="G7" i="28" s="1"/>
  <c r="H7" i="28" s="1"/>
  <c r="O5" i="28"/>
  <c r="J5" i="28"/>
  <c r="I5" i="28"/>
  <c r="O4" i="28"/>
  <c r="J4" i="28"/>
  <c r="I4" i="28"/>
  <c r="G4" i="28"/>
  <c r="G5" i="28" s="1"/>
  <c r="H5" i="28" s="1"/>
  <c r="O3" i="28"/>
  <c r="J3" i="28"/>
  <c r="I3" i="28"/>
  <c r="J2" i="28"/>
  <c r="I2" i="28"/>
  <c r="H2" i="28"/>
  <c r="G2" i="28"/>
  <c r="G3" i="28" s="1"/>
  <c r="H3" i="28" s="1"/>
  <c r="G46" i="69" l="1"/>
  <c r="H46" i="69" s="1"/>
  <c r="G46" i="68"/>
  <c r="H46" i="68" s="1"/>
  <c r="G46" i="67"/>
  <c r="H46" i="67" s="1"/>
  <c r="G9" i="67"/>
  <c r="H9" i="67" s="1"/>
  <c r="P6" i="67" s="1"/>
  <c r="P4" i="66"/>
  <c r="G5" i="66"/>
  <c r="H5" i="66" s="1"/>
  <c r="H29" i="65"/>
  <c r="H8" i="65"/>
  <c r="P4" i="65"/>
  <c r="G37" i="63"/>
  <c r="H37" i="63" s="1"/>
  <c r="G5" i="62"/>
  <c r="H5" i="62" s="1"/>
  <c r="G11" i="61"/>
  <c r="H11" i="61" s="1"/>
  <c r="G19" i="61"/>
  <c r="G22" i="61"/>
  <c r="G23" i="61" s="1"/>
  <c r="G15" i="61"/>
  <c r="H15" i="61" s="1"/>
  <c r="G6" i="62"/>
  <c r="G7" i="62" s="1"/>
  <c r="H7" i="62" s="1"/>
  <c r="G19" i="62"/>
  <c r="G22" i="62"/>
  <c r="G20" i="60"/>
  <c r="H20" i="60" s="1"/>
  <c r="G22" i="60"/>
  <c r="G11" i="60"/>
  <c r="G12" i="60" s="1"/>
  <c r="H12" i="60" s="1"/>
  <c r="G6" i="60"/>
  <c r="G7" i="60" s="1"/>
  <c r="H7" i="60" s="1"/>
  <c r="G11" i="59"/>
  <c r="G12" i="59" s="1"/>
  <c r="H12" i="59" s="1"/>
  <c r="G19" i="59"/>
  <c r="G38" i="59"/>
  <c r="G15" i="59"/>
  <c r="H15" i="59" s="1"/>
  <c r="G49" i="59"/>
  <c r="G22" i="59"/>
  <c r="H22" i="59" s="1"/>
  <c r="H23" i="58"/>
  <c r="G37" i="57"/>
  <c r="H37" i="57" s="1"/>
  <c r="G31" i="56"/>
  <c r="G32" i="56" s="1"/>
  <c r="H32" i="56" s="1"/>
  <c r="G37" i="55"/>
  <c r="H37" i="55" s="1"/>
  <c r="G9" i="66"/>
  <c r="H9" i="66" s="1"/>
  <c r="G16" i="65"/>
  <c r="H16" i="65" s="1"/>
  <c r="P4" i="62"/>
  <c r="H6" i="66"/>
  <c r="G12" i="68"/>
  <c r="H12" i="68" s="1"/>
  <c r="G42" i="67"/>
  <c r="H42" i="67" s="1"/>
  <c r="H45" i="53"/>
  <c r="G48" i="66"/>
  <c r="H48" i="66" s="1"/>
  <c r="G40" i="58"/>
  <c r="H40" i="58" s="1"/>
  <c r="H15" i="56"/>
  <c r="H6" i="58"/>
  <c r="H6" i="67"/>
  <c r="G12" i="67"/>
  <c r="H12" i="67" s="1"/>
  <c r="H26" i="58"/>
  <c r="H29" i="68"/>
  <c r="P4" i="56"/>
  <c r="G31" i="60"/>
  <c r="G32" i="60" s="1"/>
  <c r="P4" i="61"/>
  <c r="G16" i="69"/>
  <c r="H16" i="69" s="1"/>
  <c r="H13" i="58"/>
  <c r="P4" i="68"/>
  <c r="G37" i="66"/>
  <c r="H37" i="66" s="1"/>
  <c r="G34" i="56"/>
  <c r="H34" i="56" s="1"/>
  <c r="G42" i="56"/>
  <c r="H42" i="56" s="1"/>
  <c r="H8" i="58"/>
  <c r="G12" i="64"/>
  <c r="H12" i="64" s="1"/>
  <c r="G46" i="66"/>
  <c r="H46" i="66" s="1"/>
  <c r="G23" i="56"/>
  <c r="G24" i="56" s="1"/>
  <c r="G31" i="62"/>
  <c r="H31" i="62" s="1"/>
  <c r="P4" i="57"/>
  <c r="H11" i="62"/>
  <c r="G48" i="62"/>
  <c r="G27" i="62"/>
  <c r="H27" i="62" s="1"/>
  <c r="G9" i="62"/>
  <c r="H9" i="62" s="1"/>
  <c r="G37" i="62"/>
  <c r="P3" i="63"/>
  <c r="P3" i="56"/>
  <c r="P3" i="67"/>
  <c r="P3" i="53"/>
  <c r="P3" i="62"/>
  <c r="P3" i="57"/>
  <c r="P3" i="54"/>
  <c r="P3" i="68"/>
  <c r="P3" i="58"/>
  <c r="P3" i="61"/>
  <c r="P3" i="64"/>
  <c r="P3" i="59"/>
  <c r="P3" i="55"/>
  <c r="P3" i="66"/>
  <c r="P3" i="60"/>
  <c r="P3" i="65"/>
  <c r="P3" i="69"/>
  <c r="H6" i="69"/>
  <c r="H11" i="69"/>
  <c r="G40" i="69"/>
  <c r="H40" i="69" s="1"/>
  <c r="G48" i="69"/>
  <c r="H48" i="69" s="1"/>
  <c r="H26" i="69"/>
  <c r="H8" i="69"/>
  <c r="G51" i="69"/>
  <c r="H51" i="69" s="1"/>
  <c r="G44" i="69"/>
  <c r="H44" i="69" s="1"/>
  <c r="P4" i="69"/>
  <c r="G37" i="69"/>
  <c r="H37" i="69" s="1"/>
  <c r="G5" i="69"/>
  <c r="H5" i="69" s="1"/>
  <c r="G23" i="69"/>
  <c r="H22" i="69"/>
  <c r="G34" i="69"/>
  <c r="H34" i="69" s="1"/>
  <c r="H33" i="69"/>
  <c r="H29" i="69"/>
  <c r="G30" i="69"/>
  <c r="G42" i="69"/>
  <c r="H42" i="69" s="1"/>
  <c r="H13" i="69"/>
  <c r="H39" i="68"/>
  <c r="G7" i="68"/>
  <c r="H7" i="68" s="1"/>
  <c r="G48" i="68"/>
  <c r="H48" i="68" s="1"/>
  <c r="G42" i="68"/>
  <c r="H42" i="68" s="1"/>
  <c r="H13" i="68"/>
  <c r="H43" i="68"/>
  <c r="H50" i="68"/>
  <c r="H4" i="68"/>
  <c r="P6" i="68" s="1"/>
  <c r="G37" i="68"/>
  <c r="H37" i="68" s="1"/>
  <c r="H26" i="68"/>
  <c r="G31" i="68"/>
  <c r="H15" i="68"/>
  <c r="G24" i="68"/>
  <c r="H23" i="68"/>
  <c r="G52" i="68"/>
  <c r="H51" i="68"/>
  <c r="H8" i="68"/>
  <c r="H22" i="68"/>
  <c r="H33" i="68"/>
  <c r="G48" i="67"/>
  <c r="H48" i="67" s="1"/>
  <c r="G5" i="67"/>
  <c r="H5" i="67" s="1"/>
  <c r="G27" i="67"/>
  <c r="H27" i="67" s="1"/>
  <c r="G37" i="67"/>
  <c r="H37" i="67" s="1"/>
  <c r="H15" i="67"/>
  <c r="G34" i="67"/>
  <c r="H34" i="67" s="1"/>
  <c r="H33" i="67"/>
  <c r="G23" i="67"/>
  <c r="H22" i="67"/>
  <c r="H43" i="67"/>
  <c r="G31" i="67"/>
  <c r="G52" i="67"/>
  <c r="H51" i="67"/>
  <c r="H13" i="67"/>
  <c r="H39" i="67"/>
  <c r="H50" i="67"/>
  <c r="H29" i="67"/>
  <c r="G27" i="66"/>
  <c r="H27" i="66" s="1"/>
  <c r="G16" i="66"/>
  <c r="H16" i="66" s="1"/>
  <c r="H33" i="66"/>
  <c r="G12" i="66"/>
  <c r="H12" i="66" s="1"/>
  <c r="G42" i="66"/>
  <c r="H42" i="66" s="1"/>
  <c r="H30" i="66"/>
  <c r="G31" i="66"/>
  <c r="H22" i="66"/>
  <c r="G52" i="66"/>
  <c r="H51" i="66"/>
  <c r="P6" i="66"/>
  <c r="P5" i="66"/>
  <c r="H43" i="66"/>
  <c r="G24" i="66"/>
  <c r="H23" i="66"/>
  <c r="H13" i="66"/>
  <c r="P8" i="66" s="1"/>
  <c r="H39" i="66"/>
  <c r="H50" i="66"/>
  <c r="H29" i="66"/>
  <c r="G37" i="65"/>
  <c r="H37" i="65" s="1"/>
  <c r="G48" i="65"/>
  <c r="H48" i="65" s="1"/>
  <c r="G12" i="65"/>
  <c r="H12" i="65" s="1"/>
  <c r="G42" i="65"/>
  <c r="H42" i="65" s="1"/>
  <c r="H30" i="65"/>
  <c r="G31" i="65"/>
  <c r="G52" i="65"/>
  <c r="H51" i="65"/>
  <c r="G23" i="65"/>
  <c r="H22" i="65"/>
  <c r="H43" i="65"/>
  <c r="H4" i="65"/>
  <c r="H26" i="65"/>
  <c r="G34" i="65"/>
  <c r="H34" i="65" s="1"/>
  <c r="H33" i="65"/>
  <c r="H13" i="65"/>
  <c r="H39" i="65"/>
  <c r="H50" i="65"/>
  <c r="H6" i="65"/>
  <c r="H45" i="65"/>
  <c r="H13" i="64"/>
  <c r="G42" i="64"/>
  <c r="H42" i="64" s="1"/>
  <c r="H6" i="64"/>
  <c r="H50" i="64"/>
  <c r="G48" i="64"/>
  <c r="H48" i="64" s="1"/>
  <c r="G37" i="64"/>
  <c r="H37" i="64" s="1"/>
  <c r="H15" i="64"/>
  <c r="H45" i="64"/>
  <c r="P4" i="64"/>
  <c r="G31" i="64"/>
  <c r="G32" i="64" s="1"/>
  <c r="H32" i="64" s="1"/>
  <c r="H4" i="64"/>
  <c r="H26" i="64"/>
  <c r="H23" i="64"/>
  <c r="G24" i="64"/>
  <c r="H43" i="64"/>
  <c r="H8" i="64"/>
  <c r="G53" i="64"/>
  <c r="H22" i="64"/>
  <c r="H33" i="64"/>
  <c r="H29" i="64"/>
  <c r="H51" i="64"/>
  <c r="G48" i="63"/>
  <c r="H48" i="63" s="1"/>
  <c r="P4" i="63"/>
  <c r="H11" i="63"/>
  <c r="G42" i="63"/>
  <c r="H42" i="63" s="1"/>
  <c r="G44" i="63"/>
  <c r="H44" i="63" s="1"/>
  <c r="G24" i="63"/>
  <c r="H23" i="63"/>
  <c r="H50" i="63"/>
  <c r="G51" i="63"/>
  <c r="G27" i="63"/>
  <c r="H27" i="63" s="1"/>
  <c r="G34" i="63"/>
  <c r="H34" i="63" s="1"/>
  <c r="G16" i="63"/>
  <c r="H16" i="63" s="1"/>
  <c r="G30" i="63"/>
  <c r="H29" i="63"/>
  <c r="H39" i="63"/>
  <c r="H45" i="63"/>
  <c r="H22" i="63"/>
  <c r="H8" i="63"/>
  <c r="H4" i="63"/>
  <c r="H6" i="63"/>
  <c r="H13" i="63"/>
  <c r="G23" i="62"/>
  <c r="H22" i="62"/>
  <c r="G32" i="62"/>
  <c r="H29" i="62"/>
  <c r="H6" i="62"/>
  <c r="P5" i="62" s="1"/>
  <c r="G14" i="62"/>
  <c r="G46" i="62"/>
  <c r="H46" i="62" s="1"/>
  <c r="G48" i="61"/>
  <c r="H26" i="61"/>
  <c r="G12" i="61"/>
  <c r="H12" i="61" s="1"/>
  <c r="H8" i="61"/>
  <c r="G37" i="61"/>
  <c r="G31" i="61"/>
  <c r="G5" i="61"/>
  <c r="H13" i="61"/>
  <c r="H45" i="61"/>
  <c r="H29" i="61"/>
  <c r="G48" i="60"/>
  <c r="H26" i="60"/>
  <c r="G14" i="60"/>
  <c r="G37" i="60"/>
  <c r="H45" i="60"/>
  <c r="P4" i="60"/>
  <c r="G23" i="60"/>
  <c r="H22" i="60"/>
  <c r="H29" i="60"/>
  <c r="H8" i="60"/>
  <c r="H4" i="60"/>
  <c r="G46" i="59"/>
  <c r="H46" i="59" s="1"/>
  <c r="H47" i="59"/>
  <c r="H26" i="59"/>
  <c r="H8" i="59"/>
  <c r="H36" i="59"/>
  <c r="P4" i="59"/>
  <c r="G5" i="59"/>
  <c r="G16" i="59"/>
  <c r="G23" i="59"/>
  <c r="H30" i="59"/>
  <c r="G31" i="59"/>
  <c r="H13" i="59"/>
  <c r="H29" i="59"/>
  <c r="G48" i="58"/>
  <c r="H48" i="58" s="1"/>
  <c r="P4" i="58"/>
  <c r="G5" i="58"/>
  <c r="H5" i="58" s="1"/>
  <c r="G37" i="58"/>
  <c r="H37" i="58" s="1"/>
  <c r="H50" i="58"/>
  <c r="G42" i="58"/>
  <c r="H42" i="58" s="1"/>
  <c r="H45" i="58"/>
  <c r="G12" i="58"/>
  <c r="H12" i="58" s="1"/>
  <c r="H43" i="58"/>
  <c r="P6" i="58"/>
  <c r="G16" i="58"/>
  <c r="H16" i="58" s="1"/>
  <c r="H24" i="58"/>
  <c r="G25" i="58"/>
  <c r="H25" i="58" s="1"/>
  <c r="H22" i="58"/>
  <c r="H33" i="58"/>
  <c r="G30" i="58"/>
  <c r="G52" i="58"/>
  <c r="G5" i="57"/>
  <c r="H5" i="57" s="1"/>
  <c r="G23" i="57"/>
  <c r="H23" i="57" s="1"/>
  <c r="G27" i="57"/>
  <c r="H27" i="57" s="1"/>
  <c r="H13" i="57"/>
  <c r="G42" i="57"/>
  <c r="H42" i="57" s="1"/>
  <c r="H50" i="57"/>
  <c r="H39" i="57"/>
  <c r="G48" i="57"/>
  <c r="H48" i="57" s="1"/>
  <c r="G34" i="57"/>
  <c r="H34" i="57" s="1"/>
  <c r="G12" i="57"/>
  <c r="H12" i="57" s="1"/>
  <c r="H43" i="57"/>
  <c r="G31" i="57"/>
  <c r="H8" i="57"/>
  <c r="G53" i="57"/>
  <c r="H15" i="57"/>
  <c r="G46" i="57"/>
  <c r="H46" i="57" s="1"/>
  <c r="H29" i="57"/>
  <c r="H51" i="57"/>
  <c r="G7" i="57"/>
  <c r="H7" i="57" s="1"/>
  <c r="G14" i="56"/>
  <c r="H14" i="56" s="1"/>
  <c r="G48" i="56"/>
  <c r="H48" i="56" s="1"/>
  <c r="H51" i="56"/>
  <c r="H29" i="56"/>
  <c r="G37" i="56"/>
  <c r="H37" i="56" s="1"/>
  <c r="G12" i="56"/>
  <c r="H12" i="56" s="1"/>
  <c r="H43" i="56"/>
  <c r="G53" i="56"/>
  <c r="G54" i="56" s="1"/>
  <c r="G55" i="56" s="1"/>
  <c r="H31" i="56"/>
  <c r="G46" i="56"/>
  <c r="H46" i="56" s="1"/>
  <c r="H45" i="56"/>
  <c r="G9" i="56"/>
  <c r="H9" i="56" s="1"/>
  <c r="G5" i="56"/>
  <c r="H5" i="56" s="1"/>
  <c r="G27" i="56"/>
  <c r="H27" i="56" s="1"/>
  <c r="G7" i="56"/>
  <c r="H7" i="56" s="1"/>
  <c r="H6" i="56"/>
  <c r="H39" i="56"/>
  <c r="H50" i="56"/>
  <c r="P4" i="55"/>
  <c r="G42" i="55"/>
  <c r="H42" i="55" s="1"/>
  <c r="H26" i="55"/>
  <c r="H29" i="55"/>
  <c r="G48" i="55"/>
  <c r="H48" i="55" s="1"/>
  <c r="G12" i="55"/>
  <c r="H12" i="55" s="1"/>
  <c r="G4" i="54"/>
  <c r="H4" i="54" s="1"/>
  <c r="H30" i="55"/>
  <c r="G31" i="55"/>
  <c r="G16" i="55"/>
  <c r="H16" i="55" s="1"/>
  <c r="G23" i="55"/>
  <c r="H22" i="55"/>
  <c r="G9" i="55"/>
  <c r="H9" i="55" s="1"/>
  <c r="H43" i="55"/>
  <c r="H50" i="55"/>
  <c r="G51" i="55"/>
  <c r="H13" i="55"/>
  <c r="G14" i="55"/>
  <c r="H14" i="55" s="1"/>
  <c r="G5" i="55"/>
  <c r="H5" i="55" s="1"/>
  <c r="H39" i="55"/>
  <c r="G40" i="55"/>
  <c r="H40" i="55" s="1"/>
  <c r="H33" i="55"/>
  <c r="H45" i="55"/>
  <c r="G7" i="55"/>
  <c r="H7" i="55" s="1"/>
  <c r="G48" i="53"/>
  <c r="H48" i="53" s="1"/>
  <c r="H11" i="53"/>
  <c r="P4" i="53"/>
  <c r="H6" i="53"/>
  <c r="G42" i="53"/>
  <c r="H42" i="53" s="1"/>
  <c r="H26" i="53"/>
  <c r="H8" i="53"/>
  <c r="G37" i="53"/>
  <c r="H37" i="53" s="1"/>
  <c r="G16" i="53"/>
  <c r="H16" i="53" s="1"/>
  <c r="G31" i="53"/>
  <c r="G52" i="53"/>
  <c r="H51" i="53"/>
  <c r="H43" i="53"/>
  <c r="H4" i="53"/>
  <c r="H13" i="53"/>
  <c r="H39" i="53"/>
  <c r="H50" i="53"/>
  <c r="G23" i="53"/>
  <c r="G34" i="53"/>
  <c r="H34" i="53" s="1"/>
  <c r="H29" i="53"/>
  <c r="G30" i="28"/>
  <c r="H30" i="28" s="1"/>
  <c r="H47" i="28"/>
  <c r="G16" i="28"/>
  <c r="H16" i="28" s="1"/>
  <c r="G14" i="28"/>
  <c r="H14" i="28" s="1"/>
  <c r="G42" i="28"/>
  <c r="H42" i="28" s="1"/>
  <c r="P3" i="28"/>
  <c r="H6" i="28"/>
  <c r="H8" i="28"/>
  <c r="H4" i="28"/>
  <c r="G12" i="28"/>
  <c r="H12" i="28" s="1"/>
  <c r="P4" i="28"/>
  <c r="H22" i="28"/>
  <c r="G23" i="28"/>
  <c r="G35" i="28"/>
  <c r="G38" i="28"/>
  <c r="G44" i="28"/>
  <c r="H44" i="28" s="1"/>
  <c r="G46" i="28"/>
  <c r="H46" i="28" s="1"/>
  <c r="G49" i="28"/>
  <c r="J250" i="25"/>
  <c r="I250" i="25"/>
  <c r="J249" i="25"/>
  <c r="I249" i="25"/>
  <c r="J248" i="25"/>
  <c r="I248" i="25"/>
  <c r="J247" i="25"/>
  <c r="I247" i="25"/>
  <c r="J246" i="25"/>
  <c r="I246" i="25"/>
  <c r="J245" i="25"/>
  <c r="I245" i="25"/>
  <c r="J244" i="25"/>
  <c r="I244" i="25"/>
  <c r="J243" i="25"/>
  <c r="I243" i="25"/>
  <c r="J242" i="25"/>
  <c r="I242" i="25"/>
  <c r="J241" i="25"/>
  <c r="I241" i="25"/>
  <c r="J240" i="25"/>
  <c r="I240" i="25"/>
  <c r="J239" i="25"/>
  <c r="I239" i="25"/>
  <c r="J238" i="25"/>
  <c r="I238" i="25"/>
  <c r="J237" i="25"/>
  <c r="I237" i="25"/>
  <c r="J236" i="25"/>
  <c r="I236" i="25"/>
  <c r="J235" i="25"/>
  <c r="I235" i="25"/>
  <c r="J234" i="25"/>
  <c r="I234" i="25"/>
  <c r="J233" i="25"/>
  <c r="I233" i="25"/>
  <c r="J232" i="25"/>
  <c r="I232" i="25"/>
  <c r="J231" i="25"/>
  <c r="I231" i="25"/>
  <c r="J230" i="25"/>
  <c r="I230" i="25"/>
  <c r="J229" i="25"/>
  <c r="I229" i="25"/>
  <c r="J228" i="25"/>
  <c r="I228" i="25"/>
  <c r="J227" i="25"/>
  <c r="I227" i="25"/>
  <c r="J226" i="25"/>
  <c r="I226" i="25"/>
  <c r="J225" i="25"/>
  <c r="I225" i="25"/>
  <c r="J224" i="25"/>
  <c r="I224" i="25"/>
  <c r="J223" i="25"/>
  <c r="I223" i="25"/>
  <c r="J222" i="25"/>
  <c r="I222" i="25"/>
  <c r="J221" i="25"/>
  <c r="I221" i="25"/>
  <c r="J220" i="25"/>
  <c r="I220" i="25"/>
  <c r="J219" i="25"/>
  <c r="I219" i="25"/>
  <c r="J218" i="25"/>
  <c r="I218" i="25"/>
  <c r="J217" i="25"/>
  <c r="I217" i="25"/>
  <c r="J216" i="25"/>
  <c r="I216" i="25"/>
  <c r="J215" i="25"/>
  <c r="I215" i="25"/>
  <c r="J214" i="25"/>
  <c r="I214" i="25"/>
  <c r="J213" i="25"/>
  <c r="I213" i="25"/>
  <c r="J212" i="25"/>
  <c r="I212" i="25"/>
  <c r="J211" i="25"/>
  <c r="I211" i="25"/>
  <c r="J210" i="25"/>
  <c r="I210" i="25"/>
  <c r="J209" i="25"/>
  <c r="I209" i="25"/>
  <c r="J208" i="25"/>
  <c r="I208" i="25"/>
  <c r="J207" i="25"/>
  <c r="I207" i="25"/>
  <c r="J206" i="25"/>
  <c r="I206" i="25"/>
  <c r="J205" i="25"/>
  <c r="I205" i="25"/>
  <c r="J204" i="25"/>
  <c r="I204" i="25"/>
  <c r="J203" i="25"/>
  <c r="I203" i="25"/>
  <c r="J202" i="25"/>
  <c r="I202" i="25"/>
  <c r="J201" i="25"/>
  <c r="I201" i="25"/>
  <c r="J200" i="25"/>
  <c r="I200" i="25"/>
  <c r="J199" i="25"/>
  <c r="I199" i="25"/>
  <c r="J198" i="25"/>
  <c r="I198" i="25"/>
  <c r="J197" i="25"/>
  <c r="I197" i="25"/>
  <c r="J196" i="25"/>
  <c r="I196" i="25"/>
  <c r="J195" i="25"/>
  <c r="I195" i="25"/>
  <c r="J194" i="25"/>
  <c r="I194" i="25"/>
  <c r="J193" i="25"/>
  <c r="I193" i="25"/>
  <c r="J192" i="25"/>
  <c r="I192" i="25"/>
  <c r="J191" i="25"/>
  <c r="I191" i="25"/>
  <c r="J190" i="25"/>
  <c r="I190" i="25"/>
  <c r="J189" i="25"/>
  <c r="I189" i="25"/>
  <c r="J188" i="25"/>
  <c r="I188" i="25"/>
  <c r="J187" i="25"/>
  <c r="I187" i="25"/>
  <c r="J186" i="25"/>
  <c r="I186" i="25"/>
  <c r="J185" i="25"/>
  <c r="I185" i="25"/>
  <c r="J184" i="25"/>
  <c r="I184" i="25"/>
  <c r="J183" i="25"/>
  <c r="I183" i="25"/>
  <c r="J182" i="25"/>
  <c r="I182" i="25"/>
  <c r="J181" i="25"/>
  <c r="I181" i="25"/>
  <c r="J180" i="25"/>
  <c r="I180" i="25"/>
  <c r="J179" i="25"/>
  <c r="I179" i="25"/>
  <c r="J178" i="25"/>
  <c r="I178" i="25"/>
  <c r="J177" i="25"/>
  <c r="I177" i="25"/>
  <c r="J176" i="25"/>
  <c r="I176" i="25"/>
  <c r="J175" i="25"/>
  <c r="I175" i="25"/>
  <c r="J174" i="25"/>
  <c r="I174" i="25"/>
  <c r="J173" i="25"/>
  <c r="I173" i="25"/>
  <c r="J172" i="25"/>
  <c r="I172" i="25"/>
  <c r="J171" i="25"/>
  <c r="I171" i="25"/>
  <c r="J170" i="25"/>
  <c r="I170" i="25"/>
  <c r="J169" i="25"/>
  <c r="I169" i="25"/>
  <c r="J168" i="25"/>
  <c r="I168" i="25"/>
  <c r="J167" i="25"/>
  <c r="I167" i="25"/>
  <c r="J166" i="25"/>
  <c r="I166" i="25"/>
  <c r="J165" i="25"/>
  <c r="I165" i="25"/>
  <c r="J164" i="25"/>
  <c r="I164" i="25"/>
  <c r="J163" i="25"/>
  <c r="I163" i="25"/>
  <c r="J162" i="25"/>
  <c r="I162" i="25"/>
  <c r="J161" i="25"/>
  <c r="I161" i="25"/>
  <c r="J160" i="25"/>
  <c r="I160" i="25"/>
  <c r="J159" i="25"/>
  <c r="I159" i="25"/>
  <c r="J158" i="25"/>
  <c r="I158" i="25"/>
  <c r="J157" i="25"/>
  <c r="I157" i="25"/>
  <c r="J156" i="25"/>
  <c r="I156" i="25"/>
  <c r="J155" i="25"/>
  <c r="I155" i="25"/>
  <c r="J154" i="25"/>
  <c r="I154" i="25"/>
  <c r="J153" i="25"/>
  <c r="I153" i="25"/>
  <c r="J152" i="25"/>
  <c r="I152" i="25"/>
  <c r="J151" i="25"/>
  <c r="I151" i="25"/>
  <c r="J150" i="25"/>
  <c r="I150" i="25"/>
  <c r="J149" i="25"/>
  <c r="I149" i="25"/>
  <c r="J148" i="25"/>
  <c r="I148" i="25"/>
  <c r="J147" i="25"/>
  <c r="I147" i="25"/>
  <c r="J146" i="25"/>
  <c r="I146" i="25"/>
  <c r="J145" i="25"/>
  <c r="I145" i="25"/>
  <c r="J144" i="25"/>
  <c r="I144" i="25"/>
  <c r="J143" i="25"/>
  <c r="I143" i="25"/>
  <c r="J142" i="25"/>
  <c r="I142" i="25"/>
  <c r="J141" i="25"/>
  <c r="I141" i="25"/>
  <c r="J140" i="25"/>
  <c r="I140" i="25"/>
  <c r="J139" i="25"/>
  <c r="I139" i="25"/>
  <c r="J138" i="25"/>
  <c r="I138" i="25"/>
  <c r="J137" i="25"/>
  <c r="I137" i="25"/>
  <c r="J136" i="25"/>
  <c r="I136" i="25"/>
  <c r="J135" i="25"/>
  <c r="I135" i="25"/>
  <c r="J134" i="25"/>
  <c r="I134" i="25"/>
  <c r="J133" i="25"/>
  <c r="I133" i="25"/>
  <c r="J132" i="25"/>
  <c r="I132" i="25"/>
  <c r="J131" i="25"/>
  <c r="I131" i="25"/>
  <c r="J130" i="25"/>
  <c r="I130" i="25"/>
  <c r="J129" i="25"/>
  <c r="I129" i="25"/>
  <c r="J128" i="25"/>
  <c r="I128" i="25"/>
  <c r="J127" i="25"/>
  <c r="I127" i="25"/>
  <c r="J126" i="25"/>
  <c r="I126" i="25"/>
  <c r="J125" i="25"/>
  <c r="I125" i="25"/>
  <c r="J124" i="25"/>
  <c r="I124" i="25"/>
  <c r="J123" i="25"/>
  <c r="I123" i="25"/>
  <c r="J122" i="25"/>
  <c r="I122" i="25"/>
  <c r="J121" i="25"/>
  <c r="I121" i="25"/>
  <c r="J120" i="25"/>
  <c r="I120" i="25"/>
  <c r="J119" i="25"/>
  <c r="I119" i="25"/>
  <c r="J118" i="25"/>
  <c r="I118" i="25"/>
  <c r="J117" i="25"/>
  <c r="I117" i="25"/>
  <c r="J116" i="25"/>
  <c r="I116" i="25"/>
  <c r="J115" i="25"/>
  <c r="I115" i="25"/>
  <c r="J114" i="25"/>
  <c r="I114" i="25"/>
  <c r="J113" i="25"/>
  <c r="I113" i="25"/>
  <c r="J112" i="25"/>
  <c r="I112" i="25"/>
  <c r="J111" i="25"/>
  <c r="I111" i="25"/>
  <c r="J110" i="25"/>
  <c r="I110" i="25"/>
  <c r="J109" i="25"/>
  <c r="I109" i="25"/>
  <c r="J108" i="25"/>
  <c r="I108" i="25"/>
  <c r="J107" i="25"/>
  <c r="I107" i="25"/>
  <c r="J106" i="25"/>
  <c r="I106" i="25"/>
  <c r="J105" i="25"/>
  <c r="I105" i="25"/>
  <c r="J104" i="25"/>
  <c r="I104" i="25"/>
  <c r="J103" i="25"/>
  <c r="I103" i="25"/>
  <c r="J102" i="25"/>
  <c r="I102" i="25"/>
  <c r="J101" i="25"/>
  <c r="I101" i="25"/>
  <c r="J100" i="25"/>
  <c r="I100" i="25"/>
  <c r="J99" i="25"/>
  <c r="I99" i="25"/>
  <c r="J98" i="25"/>
  <c r="I98" i="25"/>
  <c r="J97" i="25"/>
  <c r="I97" i="25"/>
  <c r="J96" i="25"/>
  <c r="I96" i="25"/>
  <c r="J95" i="25"/>
  <c r="I95" i="25"/>
  <c r="J94" i="25"/>
  <c r="I94" i="25"/>
  <c r="J93" i="25"/>
  <c r="I93" i="25"/>
  <c r="J92" i="25"/>
  <c r="I92" i="25"/>
  <c r="J91" i="25"/>
  <c r="I91" i="25"/>
  <c r="J90" i="25"/>
  <c r="I90" i="25"/>
  <c r="J89" i="25"/>
  <c r="I89" i="25"/>
  <c r="J88" i="25"/>
  <c r="I88" i="25"/>
  <c r="J87" i="25"/>
  <c r="I87" i="25"/>
  <c r="J86" i="25"/>
  <c r="I86" i="25"/>
  <c r="J85" i="25"/>
  <c r="I85" i="25"/>
  <c r="J84" i="25"/>
  <c r="I84" i="25"/>
  <c r="J83" i="25"/>
  <c r="I83" i="25"/>
  <c r="J82" i="25"/>
  <c r="I82" i="25"/>
  <c r="J81" i="25"/>
  <c r="I81" i="25"/>
  <c r="J80" i="25"/>
  <c r="I80" i="25"/>
  <c r="J79" i="25"/>
  <c r="I79" i="25"/>
  <c r="J78" i="25"/>
  <c r="I78" i="25"/>
  <c r="J77" i="25"/>
  <c r="I77" i="25"/>
  <c r="J76" i="25"/>
  <c r="I76" i="25"/>
  <c r="J75" i="25"/>
  <c r="I75" i="25"/>
  <c r="J74" i="25"/>
  <c r="I74" i="25"/>
  <c r="J73" i="25"/>
  <c r="I73" i="25"/>
  <c r="J72" i="25"/>
  <c r="I72" i="25"/>
  <c r="J71" i="25"/>
  <c r="I71" i="25"/>
  <c r="J70" i="25"/>
  <c r="I70" i="25"/>
  <c r="J69" i="25"/>
  <c r="I69" i="25"/>
  <c r="J68" i="25"/>
  <c r="I68" i="25"/>
  <c r="J67" i="25"/>
  <c r="I67" i="25"/>
  <c r="J66" i="25"/>
  <c r="I66" i="25"/>
  <c r="J65" i="25"/>
  <c r="I65" i="25"/>
  <c r="J64" i="25"/>
  <c r="I64" i="25"/>
  <c r="J63" i="25"/>
  <c r="I63" i="25"/>
  <c r="J62" i="25"/>
  <c r="I62" i="25"/>
  <c r="J61" i="25"/>
  <c r="I61" i="25"/>
  <c r="J60" i="25"/>
  <c r="I60" i="25"/>
  <c r="J59" i="25"/>
  <c r="I59" i="25"/>
  <c r="J58" i="25"/>
  <c r="I58" i="25"/>
  <c r="J57" i="25"/>
  <c r="I57" i="25"/>
  <c r="J56" i="25"/>
  <c r="I56" i="25"/>
  <c r="J55" i="25"/>
  <c r="I55" i="25"/>
  <c r="J54" i="25"/>
  <c r="I54" i="25"/>
  <c r="J53" i="25"/>
  <c r="I53" i="25"/>
  <c r="J52" i="25"/>
  <c r="I52" i="25"/>
  <c r="J51" i="25"/>
  <c r="I51" i="25"/>
  <c r="J50" i="25"/>
  <c r="I50" i="25"/>
  <c r="J49" i="25"/>
  <c r="I49" i="25"/>
  <c r="J48" i="25"/>
  <c r="I48" i="25"/>
  <c r="J47" i="25"/>
  <c r="I47" i="25"/>
  <c r="G47" i="25"/>
  <c r="H47" i="25" s="1"/>
  <c r="J46" i="25"/>
  <c r="I46" i="25"/>
  <c r="J45" i="25"/>
  <c r="I45" i="25"/>
  <c r="G45" i="25"/>
  <c r="H45" i="25" s="1"/>
  <c r="J44" i="25"/>
  <c r="I44" i="25"/>
  <c r="J43" i="25"/>
  <c r="I43" i="25"/>
  <c r="G43" i="25"/>
  <c r="G44" i="25" s="1"/>
  <c r="H44" i="25" s="1"/>
  <c r="J42" i="25"/>
  <c r="I42" i="25"/>
  <c r="J41" i="25"/>
  <c r="I41" i="25"/>
  <c r="G41" i="25"/>
  <c r="H41" i="25" s="1"/>
  <c r="J40" i="25"/>
  <c r="I40" i="25"/>
  <c r="J39" i="25"/>
  <c r="I39" i="25"/>
  <c r="G39" i="25"/>
  <c r="H39" i="25" s="1"/>
  <c r="J38" i="25"/>
  <c r="I38" i="25"/>
  <c r="J37" i="25"/>
  <c r="I37" i="25"/>
  <c r="J36" i="25"/>
  <c r="I36" i="25"/>
  <c r="G36" i="25"/>
  <c r="H36" i="25" s="1"/>
  <c r="J35" i="25"/>
  <c r="I35" i="25"/>
  <c r="J34" i="25"/>
  <c r="I34" i="25"/>
  <c r="J33" i="25"/>
  <c r="I33" i="25"/>
  <c r="G33" i="25"/>
  <c r="H33" i="25" s="1"/>
  <c r="J32" i="25"/>
  <c r="I32" i="25"/>
  <c r="J31" i="25"/>
  <c r="I31" i="25"/>
  <c r="J30" i="25"/>
  <c r="I30" i="25"/>
  <c r="J29" i="25"/>
  <c r="I29" i="25"/>
  <c r="G29" i="25"/>
  <c r="H29" i="25" s="1"/>
  <c r="J28" i="25"/>
  <c r="I28" i="25"/>
  <c r="G28" i="25"/>
  <c r="H28" i="25" s="1"/>
  <c r="J27" i="25"/>
  <c r="I27" i="25"/>
  <c r="J26" i="25"/>
  <c r="I26" i="25"/>
  <c r="G26" i="25"/>
  <c r="H26" i="25" s="1"/>
  <c r="J25" i="25"/>
  <c r="I25" i="25"/>
  <c r="J24" i="25"/>
  <c r="I24" i="25"/>
  <c r="J23" i="25"/>
  <c r="I23" i="25"/>
  <c r="J22" i="25"/>
  <c r="I22" i="25"/>
  <c r="G22" i="25"/>
  <c r="H22" i="25" s="1"/>
  <c r="J21" i="25"/>
  <c r="I21" i="25"/>
  <c r="G21" i="25"/>
  <c r="H21" i="25" s="1"/>
  <c r="J20" i="25"/>
  <c r="I20" i="25"/>
  <c r="G20" i="25"/>
  <c r="H20" i="25" s="1"/>
  <c r="J19" i="25"/>
  <c r="I19" i="25"/>
  <c r="G19" i="25"/>
  <c r="H19" i="25" s="1"/>
  <c r="J18" i="25"/>
  <c r="I18" i="25"/>
  <c r="G18" i="25"/>
  <c r="H18" i="25" s="1"/>
  <c r="J17" i="25"/>
  <c r="I17" i="25"/>
  <c r="G17" i="25"/>
  <c r="H17" i="25" s="1"/>
  <c r="O16" i="25"/>
  <c r="J16" i="25"/>
  <c r="I16" i="25"/>
  <c r="J15" i="25"/>
  <c r="I15" i="25"/>
  <c r="G15" i="25"/>
  <c r="G16" i="25" s="1"/>
  <c r="H16" i="25" s="1"/>
  <c r="P14" i="25"/>
  <c r="N14" i="25"/>
  <c r="J14" i="25"/>
  <c r="I14" i="25"/>
  <c r="O13" i="25"/>
  <c r="J13" i="25"/>
  <c r="I13" i="25"/>
  <c r="G13" i="25"/>
  <c r="H13" i="25" s="1"/>
  <c r="O12" i="25"/>
  <c r="J12" i="25"/>
  <c r="I12" i="25"/>
  <c r="O11" i="25"/>
  <c r="J11" i="25"/>
  <c r="I11" i="25"/>
  <c r="G11" i="25"/>
  <c r="G12" i="25" s="1"/>
  <c r="H12" i="25" s="1"/>
  <c r="O10" i="25"/>
  <c r="J10" i="25"/>
  <c r="I10" i="25"/>
  <c r="G10" i="25"/>
  <c r="H10" i="25" s="1"/>
  <c r="O9" i="25"/>
  <c r="J9" i="25"/>
  <c r="I9" i="25"/>
  <c r="O8" i="25"/>
  <c r="J8" i="25"/>
  <c r="I8" i="25"/>
  <c r="G8" i="25"/>
  <c r="H8" i="25" s="1"/>
  <c r="O7" i="25"/>
  <c r="J7" i="25"/>
  <c r="I7" i="25"/>
  <c r="O6" i="25"/>
  <c r="J6" i="25"/>
  <c r="I6" i="25"/>
  <c r="G6" i="25"/>
  <c r="H6" i="25" s="1"/>
  <c r="O5" i="25"/>
  <c r="J5" i="25"/>
  <c r="I5" i="25"/>
  <c r="O4" i="25"/>
  <c r="J4" i="25"/>
  <c r="I4" i="25"/>
  <c r="G4" i="25"/>
  <c r="H4" i="25" s="1"/>
  <c r="O3" i="25"/>
  <c r="J3" i="25"/>
  <c r="I3" i="25"/>
  <c r="J2" i="25"/>
  <c r="I2" i="25"/>
  <c r="H2" i="25"/>
  <c r="G2" i="25"/>
  <c r="G3" i="25" s="1"/>
  <c r="H3" i="25" s="1"/>
  <c r="J250" i="16"/>
  <c r="I250" i="16"/>
  <c r="J249" i="16"/>
  <c r="I249" i="16"/>
  <c r="J248" i="16"/>
  <c r="I248" i="16"/>
  <c r="J247" i="16"/>
  <c r="I247" i="16"/>
  <c r="J246" i="16"/>
  <c r="I246" i="16"/>
  <c r="J245" i="16"/>
  <c r="I245" i="16"/>
  <c r="J244" i="16"/>
  <c r="I244" i="16"/>
  <c r="J243" i="16"/>
  <c r="I243" i="16"/>
  <c r="J242" i="16"/>
  <c r="I242" i="16"/>
  <c r="J241" i="16"/>
  <c r="I241" i="16"/>
  <c r="J240" i="16"/>
  <c r="I240" i="16"/>
  <c r="J239" i="16"/>
  <c r="I239" i="16"/>
  <c r="J238" i="16"/>
  <c r="I238" i="16"/>
  <c r="J237" i="16"/>
  <c r="I237" i="16"/>
  <c r="J236" i="16"/>
  <c r="I236" i="16"/>
  <c r="J235" i="16"/>
  <c r="I235" i="16"/>
  <c r="J234" i="16"/>
  <c r="I234" i="16"/>
  <c r="J233" i="16"/>
  <c r="I233" i="16"/>
  <c r="J232" i="16"/>
  <c r="I232" i="16"/>
  <c r="J231" i="16"/>
  <c r="I231" i="16"/>
  <c r="J230" i="16"/>
  <c r="I230" i="16"/>
  <c r="J229" i="16"/>
  <c r="I229" i="16"/>
  <c r="J228" i="16"/>
  <c r="I228" i="16"/>
  <c r="J227" i="16"/>
  <c r="I227" i="16"/>
  <c r="J226" i="16"/>
  <c r="I226" i="16"/>
  <c r="J225" i="16"/>
  <c r="I225" i="16"/>
  <c r="J224" i="16"/>
  <c r="I224" i="16"/>
  <c r="J223" i="16"/>
  <c r="I223" i="16"/>
  <c r="J222" i="16"/>
  <c r="I222" i="16"/>
  <c r="J221" i="16"/>
  <c r="I221" i="16"/>
  <c r="J220" i="16"/>
  <c r="I220" i="16"/>
  <c r="J219" i="16"/>
  <c r="I219" i="16"/>
  <c r="J218" i="16"/>
  <c r="I218" i="16"/>
  <c r="J217" i="16"/>
  <c r="I217" i="16"/>
  <c r="J216" i="16"/>
  <c r="I216" i="16"/>
  <c r="J215" i="16"/>
  <c r="I215" i="16"/>
  <c r="J214" i="16"/>
  <c r="I214" i="16"/>
  <c r="J213" i="16"/>
  <c r="I213" i="16"/>
  <c r="J212" i="16"/>
  <c r="I212" i="16"/>
  <c r="J211" i="16"/>
  <c r="I211" i="16"/>
  <c r="J210" i="16"/>
  <c r="I210" i="16"/>
  <c r="J209" i="16"/>
  <c r="I209" i="16"/>
  <c r="J208" i="16"/>
  <c r="I208" i="16"/>
  <c r="J207" i="16"/>
  <c r="I207" i="16"/>
  <c r="J206" i="16"/>
  <c r="I206" i="16"/>
  <c r="J205" i="16"/>
  <c r="I205" i="16"/>
  <c r="J204" i="16"/>
  <c r="I204" i="16"/>
  <c r="J203" i="16"/>
  <c r="I203" i="16"/>
  <c r="J202" i="16"/>
  <c r="I202" i="16"/>
  <c r="J201" i="16"/>
  <c r="I201" i="16"/>
  <c r="J200" i="16"/>
  <c r="I200" i="16"/>
  <c r="J199" i="16"/>
  <c r="I199" i="16"/>
  <c r="J198" i="16"/>
  <c r="I198" i="16"/>
  <c r="J197" i="16"/>
  <c r="I197" i="16"/>
  <c r="J196" i="16"/>
  <c r="I196" i="16"/>
  <c r="J195" i="16"/>
  <c r="I195" i="16"/>
  <c r="J194" i="16"/>
  <c r="I194" i="16"/>
  <c r="J193" i="16"/>
  <c r="I193" i="16"/>
  <c r="J192" i="16"/>
  <c r="I192" i="16"/>
  <c r="J191" i="16"/>
  <c r="I191" i="16"/>
  <c r="J190" i="16"/>
  <c r="I190" i="16"/>
  <c r="J189" i="16"/>
  <c r="I189" i="16"/>
  <c r="J188" i="16"/>
  <c r="I188" i="16"/>
  <c r="J187" i="16"/>
  <c r="I187" i="16"/>
  <c r="J186" i="16"/>
  <c r="I186" i="16"/>
  <c r="J185" i="16"/>
  <c r="I185" i="16"/>
  <c r="J184" i="16"/>
  <c r="I184" i="16"/>
  <c r="J183" i="16"/>
  <c r="I183" i="16"/>
  <c r="J182" i="16"/>
  <c r="I182" i="16"/>
  <c r="J181" i="16"/>
  <c r="I181" i="16"/>
  <c r="J180" i="16"/>
  <c r="I180" i="16"/>
  <c r="J179" i="16"/>
  <c r="I179" i="16"/>
  <c r="J178" i="16"/>
  <c r="I178" i="16"/>
  <c r="J177" i="16"/>
  <c r="I177" i="16"/>
  <c r="J176" i="16"/>
  <c r="I176" i="16"/>
  <c r="J175" i="16"/>
  <c r="I175" i="16"/>
  <c r="J174" i="16"/>
  <c r="I174" i="16"/>
  <c r="J173" i="16"/>
  <c r="I173" i="16"/>
  <c r="J172" i="16"/>
  <c r="I172" i="16"/>
  <c r="J171" i="16"/>
  <c r="I171" i="16"/>
  <c r="J170" i="16"/>
  <c r="I170" i="16"/>
  <c r="J169" i="16"/>
  <c r="I169" i="16"/>
  <c r="J168" i="16"/>
  <c r="I168" i="16"/>
  <c r="J167" i="16"/>
  <c r="I167" i="16"/>
  <c r="J166" i="16"/>
  <c r="I166" i="16"/>
  <c r="J165" i="16"/>
  <c r="I165" i="16"/>
  <c r="J164" i="16"/>
  <c r="I164" i="16"/>
  <c r="J163" i="16"/>
  <c r="I163" i="16"/>
  <c r="J162" i="16"/>
  <c r="I162" i="16"/>
  <c r="J161" i="16"/>
  <c r="I161" i="16"/>
  <c r="J160" i="16"/>
  <c r="I160" i="16"/>
  <c r="J159" i="16"/>
  <c r="I159" i="16"/>
  <c r="J158" i="16"/>
  <c r="I158" i="16"/>
  <c r="J157" i="16"/>
  <c r="I157" i="16"/>
  <c r="J156" i="16"/>
  <c r="I156" i="16"/>
  <c r="J155" i="16"/>
  <c r="I155" i="16"/>
  <c r="J154" i="16"/>
  <c r="I154" i="16"/>
  <c r="J153" i="16"/>
  <c r="I153" i="16"/>
  <c r="J152" i="16"/>
  <c r="I152" i="16"/>
  <c r="J151" i="16"/>
  <c r="I151" i="16"/>
  <c r="J150" i="16"/>
  <c r="I150" i="16"/>
  <c r="J149" i="16"/>
  <c r="I149" i="16"/>
  <c r="J148" i="16"/>
  <c r="I148" i="16"/>
  <c r="J147" i="16"/>
  <c r="I147" i="16"/>
  <c r="J146" i="16"/>
  <c r="I146" i="16"/>
  <c r="J145" i="16"/>
  <c r="I145" i="16"/>
  <c r="J144" i="16"/>
  <c r="I144" i="16"/>
  <c r="J143" i="16"/>
  <c r="I143" i="16"/>
  <c r="J142" i="16"/>
  <c r="I142" i="16"/>
  <c r="J141" i="16"/>
  <c r="I141" i="16"/>
  <c r="J140" i="16"/>
  <c r="I140" i="16"/>
  <c r="J139" i="16"/>
  <c r="I139" i="16"/>
  <c r="J138" i="16"/>
  <c r="I138" i="16"/>
  <c r="J137" i="16"/>
  <c r="I137" i="16"/>
  <c r="J136" i="16"/>
  <c r="I136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I127" i="16"/>
  <c r="J126" i="16"/>
  <c r="I126" i="16"/>
  <c r="J125" i="16"/>
  <c r="I125" i="16"/>
  <c r="J124" i="16"/>
  <c r="I124" i="16"/>
  <c r="J123" i="16"/>
  <c r="I123" i="16"/>
  <c r="J122" i="16"/>
  <c r="I122" i="16"/>
  <c r="J121" i="16"/>
  <c r="I121" i="16"/>
  <c r="J120" i="16"/>
  <c r="I120" i="16"/>
  <c r="J119" i="16"/>
  <c r="I119" i="16"/>
  <c r="J118" i="16"/>
  <c r="I118" i="16"/>
  <c r="J117" i="16"/>
  <c r="I117" i="16"/>
  <c r="J116" i="16"/>
  <c r="I116" i="16"/>
  <c r="J115" i="16"/>
  <c r="I115" i="16"/>
  <c r="J114" i="16"/>
  <c r="I114" i="16"/>
  <c r="J113" i="16"/>
  <c r="I113" i="16"/>
  <c r="J112" i="16"/>
  <c r="I112" i="16"/>
  <c r="J111" i="16"/>
  <c r="I111" i="16"/>
  <c r="J110" i="16"/>
  <c r="I110" i="16"/>
  <c r="J109" i="16"/>
  <c r="I109" i="16"/>
  <c r="J108" i="16"/>
  <c r="I108" i="16"/>
  <c r="J107" i="16"/>
  <c r="I107" i="16"/>
  <c r="J106" i="16"/>
  <c r="I106" i="16"/>
  <c r="J105" i="16"/>
  <c r="I105" i="16"/>
  <c r="J104" i="16"/>
  <c r="I104" i="16"/>
  <c r="J103" i="16"/>
  <c r="I103" i="16"/>
  <c r="J102" i="16"/>
  <c r="I102" i="16"/>
  <c r="J101" i="16"/>
  <c r="I101" i="16"/>
  <c r="J100" i="16"/>
  <c r="I100" i="16"/>
  <c r="J99" i="16"/>
  <c r="I99" i="16"/>
  <c r="J98" i="16"/>
  <c r="I98" i="16"/>
  <c r="J97" i="16"/>
  <c r="I97" i="16"/>
  <c r="J96" i="16"/>
  <c r="I96" i="16"/>
  <c r="J95" i="16"/>
  <c r="I95" i="16"/>
  <c r="J94" i="16"/>
  <c r="I94" i="16"/>
  <c r="J93" i="16"/>
  <c r="I93" i="16"/>
  <c r="J92" i="16"/>
  <c r="I92" i="16"/>
  <c r="J91" i="16"/>
  <c r="I91" i="16"/>
  <c r="J90" i="16"/>
  <c r="I90" i="16"/>
  <c r="J89" i="16"/>
  <c r="I89" i="16"/>
  <c r="J88" i="16"/>
  <c r="I88" i="16"/>
  <c r="J87" i="16"/>
  <c r="I87" i="16"/>
  <c r="J86" i="16"/>
  <c r="I86" i="16"/>
  <c r="J85" i="16"/>
  <c r="I85" i="16"/>
  <c r="J84" i="16"/>
  <c r="I84" i="16"/>
  <c r="J83" i="16"/>
  <c r="I83" i="16"/>
  <c r="J82" i="16"/>
  <c r="I82" i="16"/>
  <c r="J81" i="16"/>
  <c r="I81" i="16"/>
  <c r="J80" i="16"/>
  <c r="I80" i="16"/>
  <c r="J79" i="16"/>
  <c r="I79" i="16"/>
  <c r="J78" i="16"/>
  <c r="I78" i="16"/>
  <c r="J77" i="16"/>
  <c r="I77" i="16"/>
  <c r="J76" i="16"/>
  <c r="I76" i="16"/>
  <c r="J75" i="16"/>
  <c r="I75" i="16"/>
  <c r="J74" i="16"/>
  <c r="I74" i="16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6" i="16"/>
  <c r="I56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G47" i="16"/>
  <c r="H47" i="16" s="1"/>
  <c r="J46" i="16"/>
  <c r="I46" i="16"/>
  <c r="J45" i="16"/>
  <c r="I45" i="16"/>
  <c r="G45" i="16"/>
  <c r="H45" i="16" s="1"/>
  <c r="J44" i="16"/>
  <c r="I44" i="16"/>
  <c r="J43" i="16"/>
  <c r="I43" i="16"/>
  <c r="G43" i="16"/>
  <c r="H43" i="16" s="1"/>
  <c r="J42" i="16"/>
  <c r="I42" i="16"/>
  <c r="J41" i="16"/>
  <c r="I41" i="16"/>
  <c r="G41" i="16"/>
  <c r="G42" i="16" s="1"/>
  <c r="H42" i="16" s="1"/>
  <c r="J40" i="16"/>
  <c r="I40" i="16"/>
  <c r="J39" i="16"/>
  <c r="I39" i="16"/>
  <c r="G39" i="16"/>
  <c r="J38" i="16"/>
  <c r="I38" i="16"/>
  <c r="J37" i="16"/>
  <c r="I37" i="16"/>
  <c r="J36" i="16"/>
  <c r="I36" i="16"/>
  <c r="G36" i="16"/>
  <c r="H36" i="16" s="1"/>
  <c r="J35" i="16"/>
  <c r="I35" i="16"/>
  <c r="J34" i="16"/>
  <c r="I34" i="16"/>
  <c r="J33" i="16"/>
  <c r="I33" i="16"/>
  <c r="G33" i="16"/>
  <c r="H33" i="16" s="1"/>
  <c r="J32" i="16"/>
  <c r="I32" i="16"/>
  <c r="J31" i="16"/>
  <c r="I31" i="16"/>
  <c r="J30" i="16"/>
  <c r="I30" i="16"/>
  <c r="J29" i="16"/>
  <c r="I29" i="16"/>
  <c r="G29" i="16"/>
  <c r="H29" i="16" s="1"/>
  <c r="J28" i="16"/>
  <c r="I28" i="16"/>
  <c r="G28" i="16"/>
  <c r="H28" i="16" s="1"/>
  <c r="J27" i="16"/>
  <c r="I27" i="16"/>
  <c r="J26" i="16"/>
  <c r="I26" i="16"/>
  <c r="G26" i="16"/>
  <c r="G27" i="16" s="1"/>
  <c r="H27" i="16" s="1"/>
  <c r="J25" i="16"/>
  <c r="I25" i="16"/>
  <c r="J24" i="16"/>
  <c r="I24" i="16"/>
  <c r="J23" i="16"/>
  <c r="I23" i="16"/>
  <c r="J22" i="16"/>
  <c r="I22" i="16"/>
  <c r="G22" i="16"/>
  <c r="H22" i="16" s="1"/>
  <c r="J21" i="16"/>
  <c r="I21" i="16"/>
  <c r="G21" i="16"/>
  <c r="H21" i="16" s="1"/>
  <c r="J20" i="16"/>
  <c r="I20" i="16"/>
  <c r="G20" i="16"/>
  <c r="H20" i="16" s="1"/>
  <c r="J19" i="16"/>
  <c r="I19" i="16"/>
  <c r="G19" i="16"/>
  <c r="H19" i="16" s="1"/>
  <c r="J18" i="16"/>
  <c r="I18" i="16"/>
  <c r="G18" i="16"/>
  <c r="H18" i="16" s="1"/>
  <c r="J17" i="16"/>
  <c r="I17" i="16"/>
  <c r="G17" i="16"/>
  <c r="H17" i="16" s="1"/>
  <c r="O16" i="16"/>
  <c r="J16" i="16"/>
  <c r="I16" i="16"/>
  <c r="J15" i="16"/>
  <c r="I15" i="16"/>
  <c r="G15" i="16"/>
  <c r="H15" i="16" s="1"/>
  <c r="P14" i="16"/>
  <c r="N14" i="16"/>
  <c r="J14" i="16"/>
  <c r="I14" i="16"/>
  <c r="O13" i="16"/>
  <c r="J13" i="16"/>
  <c r="I13" i="16"/>
  <c r="G13" i="16"/>
  <c r="H13" i="16" s="1"/>
  <c r="O12" i="16"/>
  <c r="J12" i="16"/>
  <c r="I12" i="16"/>
  <c r="O11" i="16"/>
  <c r="J11" i="16"/>
  <c r="I11" i="16"/>
  <c r="G11" i="16"/>
  <c r="H11" i="16" s="1"/>
  <c r="O10" i="16"/>
  <c r="J10" i="16"/>
  <c r="I10" i="16"/>
  <c r="G10" i="16"/>
  <c r="H10" i="16" s="1"/>
  <c r="O9" i="16"/>
  <c r="J9" i="16"/>
  <c r="I9" i="16"/>
  <c r="O8" i="16"/>
  <c r="J8" i="16"/>
  <c r="I8" i="16"/>
  <c r="G8" i="16"/>
  <c r="G9" i="16" s="1"/>
  <c r="H9" i="16" s="1"/>
  <c r="O7" i="16"/>
  <c r="J7" i="16"/>
  <c r="I7" i="16"/>
  <c r="O6" i="16"/>
  <c r="J6" i="16"/>
  <c r="I6" i="16"/>
  <c r="G6" i="16"/>
  <c r="G7" i="16" s="1"/>
  <c r="H7" i="16" s="1"/>
  <c r="O5" i="16"/>
  <c r="J5" i="16"/>
  <c r="I5" i="16"/>
  <c r="O4" i="16"/>
  <c r="J4" i="16"/>
  <c r="I4" i="16"/>
  <c r="G4" i="16"/>
  <c r="G5" i="16" s="1"/>
  <c r="H5" i="16" s="1"/>
  <c r="O3" i="16"/>
  <c r="J3" i="16"/>
  <c r="I3" i="16"/>
  <c r="J2" i="16"/>
  <c r="I2" i="16"/>
  <c r="H2" i="16"/>
  <c r="G2" i="16"/>
  <c r="G3" i="16" s="1"/>
  <c r="H3" i="16" s="1"/>
  <c r="P16" i="67" l="1"/>
  <c r="P5" i="67"/>
  <c r="P16" i="66"/>
  <c r="H31" i="64"/>
  <c r="H22" i="61"/>
  <c r="H6" i="60"/>
  <c r="H11" i="60"/>
  <c r="H11" i="59"/>
  <c r="G16" i="61"/>
  <c r="H5" i="61"/>
  <c r="G6" i="61"/>
  <c r="H37" i="61"/>
  <c r="G38" i="61"/>
  <c r="H48" i="61"/>
  <c r="G49" i="61"/>
  <c r="H16" i="61"/>
  <c r="G17" i="61"/>
  <c r="H17" i="61" s="1"/>
  <c r="H19" i="61"/>
  <c r="G20" i="61"/>
  <c r="H20" i="61" s="1"/>
  <c r="H48" i="62"/>
  <c r="G49" i="62"/>
  <c r="H14" i="62"/>
  <c r="G15" i="62"/>
  <c r="H37" i="62"/>
  <c r="G38" i="62"/>
  <c r="G35" i="62"/>
  <c r="H35" i="62" s="1"/>
  <c r="H32" i="62"/>
  <c r="G33" i="62"/>
  <c r="H19" i="62"/>
  <c r="G20" i="62"/>
  <c r="H20" i="62" s="1"/>
  <c r="G35" i="60"/>
  <c r="H35" i="60" s="1"/>
  <c r="H37" i="60"/>
  <c r="G38" i="60"/>
  <c r="G17" i="60"/>
  <c r="H17" i="60" s="1"/>
  <c r="H32" i="60"/>
  <c r="G33" i="60"/>
  <c r="H14" i="60"/>
  <c r="G15" i="60"/>
  <c r="H48" i="60"/>
  <c r="G49" i="60"/>
  <c r="H38" i="59"/>
  <c r="G39" i="59"/>
  <c r="H5" i="59"/>
  <c r="G6" i="59"/>
  <c r="H49" i="59"/>
  <c r="G50" i="59"/>
  <c r="H19" i="59"/>
  <c r="G20" i="59"/>
  <c r="H20" i="59" s="1"/>
  <c r="H16" i="59"/>
  <c r="G17" i="59"/>
  <c r="H17" i="59" s="1"/>
  <c r="P8" i="58"/>
  <c r="H54" i="56"/>
  <c r="P8" i="67"/>
  <c r="P11" i="68"/>
  <c r="P16" i="58"/>
  <c r="G52" i="69"/>
  <c r="H53" i="56"/>
  <c r="P5" i="28"/>
  <c r="P5" i="69"/>
  <c r="P5" i="68"/>
  <c r="P5" i="64"/>
  <c r="P8" i="68"/>
  <c r="P5" i="58"/>
  <c r="G23" i="16"/>
  <c r="H23" i="16" s="1"/>
  <c r="H23" i="56"/>
  <c r="P12" i="56" s="1"/>
  <c r="H31" i="60"/>
  <c r="P4" i="16"/>
  <c r="P8" i="55"/>
  <c r="G31" i="28"/>
  <c r="H31" i="28" s="1"/>
  <c r="P11" i="58"/>
  <c r="P7" i="58"/>
  <c r="P6" i="69"/>
  <c r="P6" i="62"/>
  <c r="P16" i="62"/>
  <c r="P8" i="69"/>
  <c r="P16" i="69"/>
  <c r="P7" i="69"/>
  <c r="G24" i="69"/>
  <c r="H23" i="69"/>
  <c r="P11" i="69"/>
  <c r="H30" i="69"/>
  <c r="G31" i="69"/>
  <c r="H52" i="69"/>
  <c r="G53" i="69"/>
  <c r="P16" i="68"/>
  <c r="H52" i="68"/>
  <c r="G53" i="68"/>
  <c r="G25" i="68"/>
  <c r="H25" i="68" s="1"/>
  <c r="H24" i="68"/>
  <c r="G32" i="68"/>
  <c r="H32" i="68" s="1"/>
  <c r="H31" i="68"/>
  <c r="P7" i="68"/>
  <c r="G32" i="67"/>
  <c r="H32" i="67" s="1"/>
  <c r="H31" i="67"/>
  <c r="G24" i="67"/>
  <c r="H23" i="67"/>
  <c r="P7" i="67"/>
  <c r="P11" i="67"/>
  <c r="H52" i="67"/>
  <c r="G53" i="67"/>
  <c r="G25" i="66"/>
  <c r="H25" i="66" s="1"/>
  <c r="H24" i="66"/>
  <c r="P12" i="66" s="1"/>
  <c r="H52" i="66"/>
  <c r="G53" i="66"/>
  <c r="H31" i="66"/>
  <c r="G32" i="66"/>
  <c r="H32" i="66" s="1"/>
  <c r="P11" i="66"/>
  <c r="P7" i="66"/>
  <c r="P5" i="65"/>
  <c r="P16" i="65"/>
  <c r="P6" i="65"/>
  <c r="G32" i="65"/>
  <c r="H32" i="65" s="1"/>
  <c r="H31" i="65"/>
  <c r="P8" i="65"/>
  <c r="P7" i="65"/>
  <c r="P11" i="65"/>
  <c r="G24" i="65"/>
  <c r="H23" i="65"/>
  <c r="H52" i="65"/>
  <c r="G53" i="65"/>
  <c r="P7" i="64"/>
  <c r="G54" i="64"/>
  <c r="H53" i="64"/>
  <c r="P6" i="64"/>
  <c r="P16" i="64"/>
  <c r="H24" i="64"/>
  <c r="G25" i="64"/>
  <c r="H25" i="64" s="1"/>
  <c r="P8" i="64"/>
  <c r="P11" i="64"/>
  <c r="P11" i="63"/>
  <c r="P16" i="63"/>
  <c r="P7" i="63"/>
  <c r="P6" i="63"/>
  <c r="P5" i="63"/>
  <c r="P8" i="63"/>
  <c r="H30" i="63"/>
  <c r="G31" i="63"/>
  <c r="G52" i="63"/>
  <c r="H51" i="63"/>
  <c r="G25" i="63"/>
  <c r="H25" i="63" s="1"/>
  <c r="H24" i="63"/>
  <c r="P12" i="63" s="1"/>
  <c r="G24" i="62"/>
  <c r="H23" i="62"/>
  <c r="H31" i="61"/>
  <c r="G32" i="61"/>
  <c r="G24" i="61"/>
  <c r="H23" i="61"/>
  <c r="P16" i="60"/>
  <c r="P6" i="60"/>
  <c r="G24" i="60"/>
  <c r="H23" i="60"/>
  <c r="P5" i="60"/>
  <c r="P8" i="60"/>
  <c r="H23" i="59"/>
  <c r="G24" i="59"/>
  <c r="H31" i="59"/>
  <c r="G32" i="59"/>
  <c r="G24" i="57"/>
  <c r="H24" i="57" s="1"/>
  <c r="H52" i="58"/>
  <c r="G53" i="58"/>
  <c r="H30" i="58"/>
  <c r="P9" i="58" s="1"/>
  <c r="G31" i="58"/>
  <c r="P12" i="58"/>
  <c r="P13" i="58"/>
  <c r="P8" i="57"/>
  <c r="P16" i="57"/>
  <c r="G32" i="57"/>
  <c r="H32" i="57" s="1"/>
  <c r="H31" i="57"/>
  <c r="P6" i="57"/>
  <c r="P5" i="57"/>
  <c r="P11" i="57"/>
  <c r="G54" i="57"/>
  <c r="H53" i="57"/>
  <c r="P7" i="57"/>
  <c r="P11" i="56"/>
  <c r="P6" i="56"/>
  <c r="P16" i="56"/>
  <c r="G25" i="56"/>
  <c r="H25" i="56" s="1"/>
  <c r="H24" i="56"/>
  <c r="P5" i="56"/>
  <c r="H55" i="56"/>
  <c r="G56" i="56"/>
  <c r="P7" i="56"/>
  <c r="P8" i="56"/>
  <c r="G5" i="54"/>
  <c r="H5" i="54" s="1"/>
  <c r="G6" i="54"/>
  <c r="P11" i="55"/>
  <c r="P6" i="55"/>
  <c r="G24" i="55"/>
  <c r="H23" i="55"/>
  <c r="G52" i="55"/>
  <c r="H51" i="55"/>
  <c r="P7" i="55"/>
  <c r="H31" i="55"/>
  <c r="G32" i="55"/>
  <c r="H32" i="55" s="1"/>
  <c r="P16" i="55"/>
  <c r="P5" i="55"/>
  <c r="P11" i="53"/>
  <c r="P8" i="53"/>
  <c r="P6" i="53"/>
  <c r="H23" i="53"/>
  <c r="G24" i="53"/>
  <c r="P16" i="53"/>
  <c r="P5" i="53"/>
  <c r="H52" i="53"/>
  <c r="G53" i="53"/>
  <c r="G32" i="53"/>
  <c r="H32" i="53" s="1"/>
  <c r="H31" i="53"/>
  <c r="P7" i="53"/>
  <c r="P6" i="28"/>
  <c r="P8" i="28"/>
  <c r="H15" i="25"/>
  <c r="G37" i="25"/>
  <c r="G38" i="25" s="1"/>
  <c r="H38" i="25" s="1"/>
  <c r="G23" i="25"/>
  <c r="H23" i="25" s="1"/>
  <c r="G34" i="25"/>
  <c r="G35" i="25" s="1"/>
  <c r="H35" i="25" s="1"/>
  <c r="G48" i="25"/>
  <c r="H48" i="25" s="1"/>
  <c r="G14" i="16"/>
  <c r="H14" i="16" s="1"/>
  <c r="G37" i="16"/>
  <c r="H37" i="16" s="1"/>
  <c r="G34" i="16"/>
  <c r="H34" i="16" s="1"/>
  <c r="G48" i="16"/>
  <c r="H48" i="16" s="1"/>
  <c r="H6" i="16"/>
  <c r="G35" i="16"/>
  <c r="H35" i="16" s="1"/>
  <c r="H11" i="25"/>
  <c r="P7" i="28"/>
  <c r="P16" i="28"/>
  <c r="P11" i="28"/>
  <c r="H38" i="28"/>
  <c r="G39" i="28"/>
  <c r="H35" i="28"/>
  <c r="G36" i="28"/>
  <c r="H49" i="28"/>
  <c r="G50" i="28"/>
  <c r="G24" i="28"/>
  <c r="H23" i="28"/>
  <c r="P3" i="25"/>
  <c r="P3" i="16"/>
  <c r="P4" i="25"/>
  <c r="G30" i="25"/>
  <c r="H30" i="25" s="1"/>
  <c r="G46" i="25"/>
  <c r="H46" i="25" s="1"/>
  <c r="H8" i="16"/>
  <c r="G44" i="16"/>
  <c r="H44" i="16" s="1"/>
  <c r="H4" i="16"/>
  <c r="G38" i="16"/>
  <c r="H38" i="16" s="1"/>
  <c r="G9" i="25"/>
  <c r="H9" i="25" s="1"/>
  <c r="G27" i="25"/>
  <c r="H27" i="25" s="1"/>
  <c r="H43" i="25"/>
  <c r="G5" i="25"/>
  <c r="H5" i="25" s="1"/>
  <c r="G7" i="25"/>
  <c r="H7" i="25" s="1"/>
  <c r="G14" i="25"/>
  <c r="H14" i="25" s="1"/>
  <c r="G40" i="25"/>
  <c r="H40" i="25" s="1"/>
  <c r="G49" i="25"/>
  <c r="G42" i="25"/>
  <c r="H42" i="25" s="1"/>
  <c r="H26" i="16"/>
  <c r="H39" i="16"/>
  <c r="G40" i="16"/>
  <c r="H40" i="16" s="1"/>
  <c r="H41" i="16"/>
  <c r="G12" i="16"/>
  <c r="H12" i="16" s="1"/>
  <c r="G16" i="16"/>
  <c r="H16" i="16" s="1"/>
  <c r="G30" i="16"/>
  <c r="G46" i="16"/>
  <c r="H46" i="16" s="1"/>
  <c r="G49" i="16"/>
  <c r="J250" i="10"/>
  <c r="I250" i="10"/>
  <c r="J249" i="10"/>
  <c r="I249" i="10"/>
  <c r="J248" i="10"/>
  <c r="I248" i="10"/>
  <c r="J247" i="10"/>
  <c r="I247" i="10"/>
  <c r="J246" i="10"/>
  <c r="I246" i="10"/>
  <c r="J245" i="10"/>
  <c r="I245" i="10"/>
  <c r="J244" i="10"/>
  <c r="I244" i="10"/>
  <c r="J243" i="10"/>
  <c r="I243" i="10"/>
  <c r="J242" i="10"/>
  <c r="I242" i="10"/>
  <c r="J241" i="10"/>
  <c r="I241" i="10"/>
  <c r="J240" i="10"/>
  <c r="I240" i="10"/>
  <c r="J239" i="10"/>
  <c r="I239" i="10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J231" i="10"/>
  <c r="I231" i="10"/>
  <c r="J230" i="10"/>
  <c r="I230" i="10"/>
  <c r="J229" i="10"/>
  <c r="I229" i="10"/>
  <c r="J228" i="10"/>
  <c r="I228" i="10"/>
  <c r="J227" i="10"/>
  <c r="I227" i="10"/>
  <c r="J226" i="10"/>
  <c r="I226" i="10"/>
  <c r="J225" i="10"/>
  <c r="I225" i="10"/>
  <c r="J224" i="10"/>
  <c r="I224" i="10"/>
  <c r="J223" i="10"/>
  <c r="I223" i="10"/>
  <c r="J222" i="10"/>
  <c r="I222" i="10"/>
  <c r="J221" i="10"/>
  <c r="I221" i="10"/>
  <c r="J220" i="10"/>
  <c r="I220" i="10"/>
  <c r="J219" i="10"/>
  <c r="I219" i="10"/>
  <c r="J218" i="10"/>
  <c r="I218" i="10"/>
  <c r="J217" i="10"/>
  <c r="I217" i="10"/>
  <c r="J216" i="10"/>
  <c r="I216" i="10"/>
  <c r="J215" i="10"/>
  <c r="I215" i="10"/>
  <c r="J214" i="10"/>
  <c r="I214" i="10"/>
  <c r="J213" i="10"/>
  <c r="I213" i="10"/>
  <c r="J212" i="10"/>
  <c r="I212" i="10"/>
  <c r="J211" i="10"/>
  <c r="I211" i="10"/>
  <c r="J210" i="10"/>
  <c r="I210" i="10"/>
  <c r="J209" i="10"/>
  <c r="I209" i="10"/>
  <c r="J208" i="10"/>
  <c r="I208" i="10"/>
  <c r="J207" i="10"/>
  <c r="I207" i="10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J199" i="10"/>
  <c r="I199" i="10"/>
  <c r="J198" i="10"/>
  <c r="I198" i="10"/>
  <c r="J197" i="10"/>
  <c r="I197" i="10"/>
  <c r="J196" i="10"/>
  <c r="I196" i="10"/>
  <c r="J195" i="10"/>
  <c r="I195" i="10"/>
  <c r="J194" i="10"/>
  <c r="I194" i="10"/>
  <c r="J193" i="10"/>
  <c r="I193" i="10"/>
  <c r="J192" i="10"/>
  <c r="I192" i="10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I185" i="10"/>
  <c r="J184" i="10"/>
  <c r="I184" i="10"/>
  <c r="J183" i="10"/>
  <c r="I183" i="10"/>
  <c r="J182" i="10"/>
  <c r="I182" i="10"/>
  <c r="J181" i="10"/>
  <c r="I181" i="10"/>
  <c r="J180" i="10"/>
  <c r="I180" i="10"/>
  <c r="J179" i="10"/>
  <c r="I179" i="10"/>
  <c r="J178" i="10"/>
  <c r="I178" i="10"/>
  <c r="J177" i="10"/>
  <c r="I177" i="10"/>
  <c r="J176" i="10"/>
  <c r="I176" i="10"/>
  <c r="J175" i="10"/>
  <c r="I175" i="10"/>
  <c r="J174" i="10"/>
  <c r="I174" i="10"/>
  <c r="J173" i="10"/>
  <c r="I173" i="10"/>
  <c r="J172" i="10"/>
  <c r="I172" i="10"/>
  <c r="J171" i="10"/>
  <c r="I171" i="10"/>
  <c r="J170" i="10"/>
  <c r="I170" i="10"/>
  <c r="J169" i="10"/>
  <c r="I169" i="10"/>
  <c r="J168" i="10"/>
  <c r="I168" i="10"/>
  <c r="J167" i="10"/>
  <c r="I167" i="10"/>
  <c r="J166" i="10"/>
  <c r="I166" i="10"/>
  <c r="J165" i="10"/>
  <c r="I165" i="10"/>
  <c r="J164" i="10"/>
  <c r="I164" i="10"/>
  <c r="J163" i="10"/>
  <c r="I163" i="10"/>
  <c r="J162" i="10"/>
  <c r="I162" i="10"/>
  <c r="J161" i="10"/>
  <c r="I161" i="10"/>
  <c r="J160" i="10"/>
  <c r="I160" i="10"/>
  <c r="J159" i="10"/>
  <c r="I159" i="10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J151" i="10"/>
  <c r="I151" i="10"/>
  <c r="J150" i="10"/>
  <c r="I150" i="10"/>
  <c r="J149" i="10"/>
  <c r="I149" i="10"/>
  <c r="J148" i="10"/>
  <c r="I148" i="10"/>
  <c r="J147" i="10"/>
  <c r="I147" i="10"/>
  <c r="J146" i="10"/>
  <c r="I146" i="10"/>
  <c r="J145" i="10"/>
  <c r="I145" i="10"/>
  <c r="J144" i="10"/>
  <c r="I144" i="10"/>
  <c r="J143" i="10"/>
  <c r="I143" i="10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J135" i="10"/>
  <c r="I135" i="10"/>
  <c r="J134" i="10"/>
  <c r="I134" i="10"/>
  <c r="J133" i="10"/>
  <c r="I133" i="10"/>
  <c r="J132" i="10"/>
  <c r="I132" i="10"/>
  <c r="J131" i="10"/>
  <c r="I131" i="10"/>
  <c r="J130" i="10"/>
  <c r="I130" i="10"/>
  <c r="J129" i="10"/>
  <c r="I129" i="10"/>
  <c r="J128" i="10"/>
  <c r="I128" i="10"/>
  <c r="J127" i="10"/>
  <c r="I127" i="10"/>
  <c r="J126" i="10"/>
  <c r="I126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J119" i="10"/>
  <c r="I119" i="10"/>
  <c r="J118" i="10"/>
  <c r="I118" i="10"/>
  <c r="J117" i="10"/>
  <c r="I117" i="10"/>
  <c r="J116" i="10"/>
  <c r="I116" i="10"/>
  <c r="J115" i="10"/>
  <c r="I115" i="10"/>
  <c r="J114" i="10"/>
  <c r="I114" i="10"/>
  <c r="J113" i="10"/>
  <c r="I113" i="10"/>
  <c r="J112" i="10"/>
  <c r="I112" i="10"/>
  <c r="J111" i="10"/>
  <c r="I111" i="10"/>
  <c r="J110" i="10"/>
  <c r="I110" i="10"/>
  <c r="J109" i="10"/>
  <c r="I109" i="10"/>
  <c r="J108" i="10"/>
  <c r="I108" i="10"/>
  <c r="J107" i="10"/>
  <c r="I107" i="10"/>
  <c r="J106" i="10"/>
  <c r="I106" i="10"/>
  <c r="J105" i="10"/>
  <c r="I105" i="10"/>
  <c r="J104" i="10"/>
  <c r="I104" i="10"/>
  <c r="J103" i="10"/>
  <c r="I103" i="10"/>
  <c r="J102" i="10"/>
  <c r="I102" i="10"/>
  <c r="J101" i="10"/>
  <c r="I101" i="10"/>
  <c r="J100" i="10"/>
  <c r="I100" i="10"/>
  <c r="J99" i="10"/>
  <c r="I99" i="10"/>
  <c r="J98" i="10"/>
  <c r="I98" i="10"/>
  <c r="J97" i="10"/>
  <c r="I97" i="10"/>
  <c r="J96" i="10"/>
  <c r="I96" i="10"/>
  <c r="J95" i="10"/>
  <c r="I95" i="10"/>
  <c r="J94" i="10"/>
  <c r="I94" i="10"/>
  <c r="J93" i="10"/>
  <c r="I93" i="10"/>
  <c r="J92" i="10"/>
  <c r="I92" i="10"/>
  <c r="J91" i="10"/>
  <c r="I91" i="10"/>
  <c r="J90" i="10"/>
  <c r="I90" i="10"/>
  <c r="J89" i="10"/>
  <c r="I89" i="10"/>
  <c r="J88" i="10"/>
  <c r="I88" i="10"/>
  <c r="J87" i="10"/>
  <c r="I87" i="10"/>
  <c r="J86" i="10"/>
  <c r="I86" i="10"/>
  <c r="J85" i="10"/>
  <c r="I85" i="10"/>
  <c r="J84" i="10"/>
  <c r="I84" i="10"/>
  <c r="J83" i="10"/>
  <c r="I83" i="10"/>
  <c r="J82" i="10"/>
  <c r="I82" i="10"/>
  <c r="J81" i="10"/>
  <c r="I81" i="10"/>
  <c r="J80" i="10"/>
  <c r="I80" i="10"/>
  <c r="J79" i="10"/>
  <c r="I79" i="10"/>
  <c r="J78" i="10"/>
  <c r="I78" i="10"/>
  <c r="J77" i="10"/>
  <c r="I77" i="10"/>
  <c r="J76" i="10"/>
  <c r="I76" i="10"/>
  <c r="J75" i="10"/>
  <c r="I75" i="10"/>
  <c r="J74" i="10"/>
  <c r="I74" i="10"/>
  <c r="J73" i="10"/>
  <c r="I73" i="10"/>
  <c r="J72" i="10"/>
  <c r="I72" i="10"/>
  <c r="J71" i="10"/>
  <c r="I71" i="10"/>
  <c r="J70" i="10"/>
  <c r="I70" i="10"/>
  <c r="J69" i="10"/>
  <c r="I69" i="10"/>
  <c r="J68" i="10"/>
  <c r="I68" i="10"/>
  <c r="J67" i="10"/>
  <c r="I67" i="10"/>
  <c r="J66" i="10"/>
  <c r="I66" i="10"/>
  <c r="J65" i="10"/>
  <c r="I65" i="10"/>
  <c r="J64" i="10"/>
  <c r="I64" i="10"/>
  <c r="J63" i="10"/>
  <c r="I63" i="10"/>
  <c r="J62" i="10"/>
  <c r="I62" i="10"/>
  <c r="J61" i="10"/>
  <c r="I61" i="10"/>
  <c r="J60" i="10"/>
  <c r="I60" i="10"/>
  <c r="J59" i="10"/>
  <c r="I59" i="10"/>
  <c r="J58" i="10"/>
  <c r="I58" i="10"/>
  <c r="J57" i="10"/>
  <c r="I57" i="10"/>
  <c r="J56" i="10"/>
  <c r="I56" i="10"/>
  <c r="J55" i="10"/>
  <c r="I55" i="10"/>
  <c r="J54" i="10"/>
  <c r="I54" i="10"/>
  <c r="J53" i="10"/>
  <c r="I53" i="10"/>
  <c r="J52" i="10"/>
  <c r="I52" i="10"/>
  <c r="J51" i="10"/>
  <c r="I51" i="10"/>
  <c r="J50" i="10"/>
  <c r="I50" i="10"/>
  <c r="J49" i="10"/>
  <c r="I49" i="10"/>
  <c r="J48" i="10"/>
  <c r="I48" i="10"/>
  <c r="J47" i="10"/>
  <c r="I47" i="10"/>
  <c r="G47" i="10"/>
  <c r="H47" i="10" s="1"/>
  <c r="J46" i="10"/>
  <c r="I46" i="10"/>
  <c r="J45" i="10"/>
  <c r="I45" i="10"/>
  <c r="G45" i="10"/>
  <c r="H45" i="10" s="1"/>
  <c r="J44" i="10"/>
  <c r="I44" i="10"/>
  <c r="J43" i="10"/>
  <c r="I43" i="10"/>
  <c r="G43" i="10"/>
  <c r="H43" i="10" s="1"/>
  <c r="J42" i="10"/>
  <c r="I42" i="10"/>
  <c r="J41" i="10"/>
  <c r="I41" i="10"/>
  <c r="G41" i="10"/>
  <c r="H41" i="10" s="1"/>
  <c r="J40" i="10"/>
  <c r="I40" i="10"/>
  <c r="J39" i="10"/>
  <c r="I39" i="10"/>
  <c r="G39" i="10"/>
  <c r="H39" i="10" s="1"/>
  <c r="J38" i="10"/>
  <c r="I38" i="10"/>
  <c r="J37" i="10"/>
  <c r="I37" i="10"/>
  <c r="J36" i="10"/>
  <c r="I36" i="10"/>
  <c r="G36" i="10"/>
  <c r="H36" i="10" s="1"/>
  <c r="J35" i="10"/>
  <c r="I35" i="10"/>
  <c r="J34" i="10"/>
  <c r="I34" i="10"/>
  <c r="J33" i="10"/>
  <c r="I33" i="10"/>
  <c r="G33" i="10"/>
  <c r="H33" i="10" s="1"/>
  <c r="J32" i="10"/>
  <c r="I32" i="10"/>
  <c r="J31" i="10"/>
  <c r="I31" i="10"/>
  <c r="J30" i="10"/>
  <c r="I30" i="10"/>
  <c r="J29" i="10"/>
  <c r="I29" i="10"/>
  <c r="G29" i="10"/>
  <c r="H29" i="10" s="1"/>
  <c r="J28" i="10"/>
  <c r="I28" i="10"/>
  <c r="G28" i="10"/>
  <c r="H28" i="10" s="1"/>
  <c r="J27" i="10"/>
  <c r="I27" i="10"/>
  <c r="J26" i="10"/>
  <c r="I26" i="10"/>
  <c r="G26" i="10"/>
  <c r="G27" i="10" s="1"/>
  <c r="H27" i="10" s="1"/>
  <c r="J25" i="10"/>
  <c r="I25" i="10"/>
  <c r="J24" i="10"/>
  <c r="I24" i="10"/>
  <c r="J23" i="10"/>
  <c r="I23" i="10"/>
  <c r="J22" i="10"/>
  <c r="I22" i="10"/>
  <c r="G22" i="10"/>
  <c r="H22" i="10" s="1"/>
  <c r="J21" i="10"/>
  <c r="I21" i="10"/>
  <c r="G21" i="10"/>
  <c r="H21" i="10" s="1"/>
  <c r="J20" i="10"/>
  <c r="I20" i="10"/>
  <c r="G20" i="10"/>
  <c r="H20" i="10" s="1"/>
  <c r="J19" i="10"/>
  <c r="I19" i="10"/>
  <c r="G19" i="10"/>
  <c r="H19" i="10" s="1"/>
  <c r="J18" i="10"/>
  <c r="I18" i="10"/>
  <c r="G18" i="10"/>
  <c r="H18" i="10" s="1"/>
  <c r="J17" i="10"/>
  <c r="I17" i="10"/>
  <c r="G17" i="10"/>
  <c r="H17" i="10" s="1"/>
  <c r="O16" i="10"/>
  <c r="J16" i="10"/>
  <c r="I16" i="10"/>
  <c r="J15" i="10"/>
  <c r="I15" i="10"/>
  <c r="G15" i="10"/>
  <c r="H15" i="10" s="1"/>
  <c r="P14" i="10"/>
  <c r="N14" i="10"/>
  <c r="J14" i="10"/>
  <c r="I14" i="10"/>
  <c r="O13" i="10"/>
  <c r="J13" i="10"/>
  <c r="I13" i="10"/>
  <c r="G13" i="10"/>
  <c r="H13" i="10" s="1"/>
  <c r="O12" i="10"/>
  <c r="J12" i="10"/>
  <c r="I12" i="10"/>
  <c r="O11" i="10"/>
  <c r="J11" i="10"/>
  <c r="I11" i="10"/>
  <c r="G11" i="10"/>
  <c r="H11" i="10" s="1"/>
  <c r="O10" i="10"/>
  <c r="J10" i="10"/>
  <c r="I10" i="10"/>
  <c r="G10" i="10"/>
  <c r="H10" i="10" s="1"/>
  <c r="O9" i="10"/>
  <c r="J9" i="10"/>
  <c r="I9" i="10"/>
  <c r="O8" i="10"/>
  <c r="J8" i="10"/>
  <c r="I8" i="10"/>
  <c r="G8" i="10"/>
  <c r="G9" i="10" s="1"/>
  <c r="H9" i="10" s="1"/>
  <c r="O7" i="10"/>
  <c r="J7" i="10"/>
  <c r="I7" i="10"/>
  <c r="O6" i="10"/>
  <c r="J6" i="10"/>
  <c r="I6" i="10"/>
  <c r="G6" i="10"/>
  <c r="G7" i="10" s="1"/>
  <c r="H7" i="10" s="1"/>
  <c r="O5" i="10"/>
  <c r="J5" i="10"/>
  <c r="I5" i="10"/>
  <c r="O4" i="10"/>
  <c r="J4" i="10"/>
  <c r="I4" i="10"/>
  <c r="G4" i="10"/>
  <c r="G5" i="10" s="1"/>
  <c r="H5" i="10" s="1"/>
  <c r="O3" i="10"/>
  <c r="J3" i="10"/>
  <c r="I3" i="10"/>
  <c r="J2" i="10"/>
  <c r="I2" i="10"/>
  <c r="H2" i="10"/>
  <c r="G2" i="10"/>
  <c r="G3" i="10" s="1"/>
  <c r="H3" i="10" s="1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G47" i="8"/>
  <c r="H47" i="8" s="1"/>
  <c r="J46" i="8"/>
  <c r="I46" i="8"/>
  <c r="J45" i="8"/>
  <c r="I45" i="8"/>
  <c r="G45" i="8"/>
  <c r="H45" i="8" s="1"/>
  <c r="J44" i="8"/>
  <c r="I44" i="8"/>
  <c r="J43" i="8"/>
  <c r="I43" i="8"/>
  <c r="G43" i="8"/>
  <c r="H43" i="8" s="1"/>
  <c r="J42" i="8"/>
  <c r="I42" i="8"/>
  <c r="J41" i="8"/>
  <c r="I41" i="8"/>
  <c r="G41" i="8"/>
  <c r="H41" i="8" s="1"/>
  <c r="J40" i="8"/>
  <c r="I40" i="8"/>
  <c r="J39" i="8"/>
  <c r="I39" i="8"/>
  <c r="G39" i="8"/>
  <c r="H39" i="8" s="1"/>
  <c r="J38" i="8"/>
  <c r="I38" i="8"/>
  <c r="J37" i="8"/>
  <c r="I37" i="8"/>
  <c r="J36" i="8"/>
  <c r="I36" i="8"/>
  <c r="G36" i="8"/>
  <c r="H36" i="8" s="1"/>
  <c r="J35" i="8"/>
  <c r="I35" i="8"/>
  <c r="J34" i="8"/>
  <c r="I34" i="8"/>
  <c r="J33" i="8"/>
  <c r="I33" i="8"/>
  <c r="G33" i="8"/>
  <c r="H33" i="8" s="1"/>
  <c r="J32" i="8"/>
  <c r="I32" i="8"/>
  <c r="J31" i="8"/>
  <c r="I31" i="8"/>
  <c r="J30" i="8"/>
  <c r="I30" i="8"/>
  <c r="J29" i="8"/>
  <c r="I29" i="8"/>
  <c r="G29" i="8"/>
  <c r="H29" i="8" s="1"/>
  <c r="J28" i="8"/>
  <c r="I28" i="8"/>
  <c r="G28" i="8"/>
  <c r="H28" i="8" s="1"/>
  <c r="J27" i="8"/>
  <c r="I27" i="8"/>
  <c r="J26" i="8"/>
  <c r="I26" i="8"/>
  <c r="G26" i="8"/>
  <c r="H26" i="8" s="1"/>
  <c r="J25" i="8"/>
  <c r="I25" i="8"/>
  <c r="J24" i="8"/>
  <c r="I24" i="8"/>
  <c r="J23" i="8"/>
  <c r="I23" i="8"/>
  <c r="J22" i="8"/>
  <c r="I22" i="8"/>
  <c r="G22" i="8"/>
  <c r="H22" i="8" s="1"/>
  <c r="J21" i="8"/>
  <c r="I21" i="8"/>
  <c r="G21" i="8"/>
  <c r="H21" i="8" s="1"/>
  <c r="J20" i="8"/>
  <c r="I20" i="8"/>
  <c r="G20" i="8"/>
  <c r="H20" i="8" s="1"/>
  <c r="J19" i="8"/>
  <c r="I19" i="8"/>
  <c r="G19" i="8"/>
  <c r="H19" i="8" s="1"/>
  <c r="J18" i="8"/>
  <c r="I18" i="8"/>
  <c r="G18" i="8"/>
  <c r="H18" i="8" s="1"/>
  <c r="J17" i="8"/>
  <c r="I17" i="8"/>
  <c r="G17" i="8"/>
  <c r="H17" i="8" s="1"/>
  <c r="O16" i="8"/>
  <c r="J16" i="8"/>
  <c r="I16" i="8"/>
  <c r="J15" i="8"/>
  <c r="I15" i="8"/>
  <c r="G15" i="8"/>
  <c r="H15" i="8" s="1"/>
  <c r="P14" i="8"/>
  <c r="N14" i="8"/>
  <c r="J14" i="8"/>
  <c r="I14" i="8"/>
  <c r="O13" i="8"/>
  <c r="J13" i="8"/>
  <c r="I13" i="8"/>
  <c r="G13" i="8"/>
  <c r="H13" i="8" s="1"/>
  <c r="O12" i="8"/>
  <c r="J12" i="8"/>
  <c r="I12" i="8"/>
  <c r="O11" i="8"/>
  <c r="J11" i="8"/>
  <c r="I11" i="8"/>
  <c r="G11" i="8"/>
  <c r="H11" i="8" s="1"/>
  <c r="O10" i="8"/>
  <c r="J10" i="8"/>
  <c r="I10" i="8"/>
  <c r="G10" i="8"/>
  <c r="H10" i="8" s="1"/>
  <c r="O9" i="8"/>
  <c r="J9" i="8"/>
  <c r="I9" i="8"/>
  <c r="O8" i="8"/>
  <c r="J8" i="8"/>
  <c r="I8" i="8"/>
  <c r="G8" i="8"/>
  <c r="G9" i="8" s="1"/>
  <c r="H9" i="8" s="1"/>
  <c r="O7" i="8"/>
  <c r="J7" i="8"/>
  <c r="I7" i="8"/>
  <c r="O6" i="8"/>
  <c r="J6" i="8"/>
  <c r="I6" i="8"/>
  <c r="G6" i="8"/>
  <c r="G7" i="8" s="1"/>
  <c r="H7" i="8" s="1"/>
  <c r="O5" i="8"/>
  <c r="J5" i="8"/>
  <c r="I5" i="8"/>
  <c r="O4" i="8"/>
  <c r="J4" i="8"/>
  <c r="I4" i="8"/>
  <c r="G4" i="8"/>
  <c r="G5" i="8" s="1"/>
  <c r="H5" i="8" s="1"/>
  <c r="O3" i="8"/>
  <c r="J3" i="8"/>
  <c r="I3" i="8"/>
  <c r="J2" i="8"/>
  <c r="I2" i="8"/>
  <c r="H2" i="8"/>
  <c r="G2" i="8"/>
  <c r="G3" i="8" s="1"/>
  <c r="H3" i="8" s="1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G47" i="4"/>
  <c r="H47" i="4" s="1"/>
  <c r="J46" i="4"/>
  <c r="I46" i="4"/>
  <c r="J45" i="4"/>
  <c r="I45" i="4"/>
  <c r="G45" i="4"/>
  <c r="H45" i="4" s="1"/>
  <c r="J44" i="4"/>
  <c r="I44" i="4"/>
  <c r="J43" i="4"/>
  <c r="I43" i="4"/>
  <c r="G43" i="4"/>
  <c r="H43" i="4" s="1"/>
  <c r="J42" i="4"/>
  <c r="I42" i="4"/>
  <c r="J41" i="4"/>
  <c r="I41" i="4"/>
  <c r="G41" i="4"/>
  <c r="G42" i="4" s="1"/>
  <c r="H42" i="4" s="1"/>
  <c r="J40" i="4"/>
  <c r="I40" i="4"/>
  <c r="J39" i="4"/>
  <c r="I39" i="4"/>
  <c r="G39" i="4"/>
  <c r="H39" i="4" s="1"/>
  <c r="J38" i="4"/>
  <c r="I38" i="4"/>
  <c r="J37" i="4"/>
  <c r="I37" i="4"/>
  <c r="J36" i="4"/>
  <c r="I36" i="4"/>
  <c r="G36" i="4"/>
  <c r="H36" i="4" s="1"/>
  <c r="J35" i="4"/>
  <c r="I35" i="4"/>
  <c r="J34" i="4"/>
  <c r="I34" i="4"/>
  <c r="J33" i="4"/>
  <c r="I33" i="4"/>
  <c r="G33" i="4"/>
  <c r="H33" i="4" s="1"/>
  <c r="J32" i="4"/>
  <c r="I32" i="4"/>
  <c r="J31" i="4"/>
  <c r="I31" i="4"/>
  <c r="J30" i="4"/>
  <c r="I30" i="4"/>
  <c r="J29" i="4"/>
  <c r="I29" i="4"/>
  <c r="G29" i="4"/>
  <c r="G30" i="4" s="1"/>
  <c r="J28" i="4"/>
  <c r="I28" i="4"/>
  <c r="G28" i="4"/>
  <c r="H28" i="4" s="1"/>
  <c r="J27" i="4"/>
  <c r="I27" i="4"/>
  <c r="J26" i="4"/>
  <c r="I26" i="4"/>
  <c r="G26" i="4"/>
  <c r="H26" i="4" s="1"/>
  <c r="J25" i="4"/>
  <c r="I25" i="4"/>
  <c r="J24" i="4"/>
  <c r="I24" i="4"/>
  <c r="J23" i="4"/>
  <c r="I23" i="4"/>
  <c r="J22" i="4"/>
  <c r="I22" i="4"/>
  <c r="G22" i="4"/>
  <c r="H22" i="4" s="1"/>
  <c r="J21" i="4"/>
  <c r="I21" i="4"/>
  <c r="G21" i="4"/>
  <c r="H21" i="4" s="1"/>
  <c r="J20" i="4"/>
  <c r="I20" i="4"/>
  <c r="G20" i="4"/>
  <c r="H20" i="4" s="1"/>
  <c r="J19" i="4"/>
  <c r="I19" i="4"/>
  <c r="G19" i="4"/>
  <c r="H19" i="4" s="1"/>
  <c r="J18" i="4"/>
  <c r="I18" i="4"/>
  <c r="G18" i="4"/>
  <c r="H18" i="4" s="1"/>
  <c r="J17" i="4"/>
  <c r="I17" i="4"/>
  <c r="G17" i="4"/>
  <c r="H17" i="4" s="1"/>
  <c r="O16" i="4"/>
  <c r="J16" i="4"/>
  <c r="I16" i="4"/>
  <c r="J15" i="4"/>
  <c r="I15" i="4"/>
  <c r="G15" i="4"/>
  <c r="H15" i="4" s="1"/>
  <c r="P14" i="4"/>
  <c r="N14" i="4"/>
  <c r="J14" i="4"/>
  <c r="I14" i="4"/>
  <c r="O13" i="4"/>
  <c r="J13" i="4"/>
  <c r="I13" i="4"/>
  <c r="G13" i="4"/>
  <c r="H13" i="4" s="1"/>
  <c r="O12" i="4"/>
  <c r="J12" i="4"/>
  <c r="I12" i="4"/>
  <c r="O11" i="4"/>
  <c r="J11" i="4"/>
  <c r="I11" i="4"/>
  <c r="G11" i="4"/>
  <c r="H11" i="4" s="1"/>
  <c r="O10" i="4"/>
  <c r="J10" i="4"/>
  <c r="I10" i="4"/>
  <c r="G10" i="4"/>
  <c r="H10" i="4" s="1"/>
  <c r="O9" i="4"/>
  <c r="J9" i="4"/>
  <c r="I9" i="4"/>
  <c r="O8" i="4"/>
  <c r="J8" i="4"/>
  <c r="I8" i="4"/>
  <c r="G8" i="4"/>
  <c r="G9" i="4" s="1"/>
  <c r="H9" i="4" s="1"/>
  <c r="O7" i="4"/>
  <c r="J7" i="4"/>
  <c r="I7" i="4"/>
  <c r="O6" i="4"/>
  <c r="J6" i="4"/>
  <c r="I6" i="4"/>
  <c r="G6" i="4"/>
  <c r="G7" i="4" s="1"/>
  <c r="H7" i="4" s="1"/>
  <c r="O5" i="4"/>
  <c r="J5" i="4"/>
  <c r="I5" i="4"/>
  <c r="O4" i="4"/>
  <c r="J4" i="4"/>
  <c r="I4" i="4"/>
  <c r="G4" i="4"/>
  <c r="G5" i="4" s="1"/>
  <c r="H5" i="4" s="1"/>
  <c r="O3" i="4"/>
  <c r="J3" i="4"/>
  <c r="I3" i="4"/>
  <c r="J2" i="4"/>
  <c r="I2" i="4"/>
  <c r="H2" i="4"/>
  <c r="G2" i="4"/>
  <c r="G3" i="4" s="1"/>
  <c r="H3" i="4" s="1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G39" i="3"/>
  <c r="G40" i="3" s="1"/>
  <c r="H40" i="3" s="1"/>
  <c r="J38" i="3"/>
  <c r="I38" i="3"/>
  <c r="J37" i="3"/>
  <c r="I37" i="3"/>
  <c r="J36" i="3"/>
  <c r="I36" i="3"/>
  <c r="G36" i="3"/>
  <c r="H36" i="3" s="1"/>
  <c r="J35" i="3"/>
  <c r="I35" i="3"/>
  <c r="J34" i="3"/>
  <c r="I34" i="3"/>
  <c r="J33" i="3"/>
  <c r="I33" i="3"/>
  <c r="G33" i="3"/>
  <c r="G34" i="3" s="1"/>
  <c r="J32" i="3"/>
  <c r="I32" i="3"/>
  <c r="J31" i="3"/>
  <c r="I31" i="3"/>
  <c r="J30" i="3"/>
  <c r="I30" i="3"/>
  <c r="J29" i="3"/>
  <c r="I29" i="3"/>
  <c r="G29" i="3"/>
  <c r="H29" i="3" s="1"/>
  <c r="J28" i="3"/>
  <c r="I28" i="3"/>
  <c r="G28" i="3"/>
  <c r="H28" i="3" s="1"/>
  <c r="J27" i="3"/>
  <c r="I27" i="3"/>
  <c r="J26" i="3"/>
  <c r="I26" i="3"/>
  <c r="G26" i="3"/>
  <c r="H26" i="3" s="1"/>
  <c r="J25" i="3"/>
  <c r="I25" i="3"/>
  <c r="J24" i="3"/>
  <c r="I24" i="3"/>
  <c r="J23" i="3"/>
  <c r="I23" i="3"/>
  <c r="J22" i="3"/>
  <c r="I22" i="3"/>
  <c r="G22" i="3"/>
  <c r="G23" i="3" s="1"/>
  <c r="J21" i="3"/>
  <c r="I21" i="3"/>
  <c r="G21" i="3"/>
  <c r="H21" i="3" s="1"/>
  <c r="J20" i="3"/>
  <c r="I20" i="3"/>
  <c r="G20" i="3"/>
  <c r="H20" i="3" s="1"/>
  <c r="J19" i="3"/>
  <c r="I19" i="3"/>
  <c r="G19" i="3"/>
  <c r="H19" i="3" s="1"/>
  <c r="J18" i="3"/>
  <c r="I18" i="3"/>
  <c r="G18" i="3"/>
  <c r="H18" i="3" s="1"/>
  <c r="J17" i="3"/>
  <c r="I17" i="3"/>
  <c r="G17" i="3"/>
  <c r="H17" i="3" s="1"/>
  <c r="O16" i="3"/>
  <c r="J16" i="3"/>
  <c r="I16" i="3"/>
  <c r="J15" i="3"/>
  <c r="I15" i="3"/>
  <c r="G15" i="3"/>
  <c r="H15" i="3" s="1"/>
  <c r="P14" i="3"/>
  <c r="N14" i="3"/>
  <c r="J14" i="3"/>
  <c r="I14" i="3"/>
  <c r="O13" i="3"/>
  <c r="J13" i="3"/>
  <c r="I13" i="3"/>
  <c r="G13" i="3"/>
  <c r="H13" i="3" s="1"/>
  <c r="O12" i="3"/>
  <c r="J12" i="3"/>
  <c r="I12" i="3"/>
  <c r="O11" i="3"/>
  <c r="J11" i="3"/>
  <c r="I11" i="3"/>
  <c r="G11" i="3"/>
  <c r="G12" i="3" s="1"/>
  <c r="H12" i="3" s="1"/>
  <c r="O10" i="3"/>
  <c r="J10" i="3"/>
  <c r="I10" i="3"/>
  <c r="G10" i="3"/>
  <c r="H10" i="3" s="1"/>
  <c r="O9" i="3"/>
  <c r="J9" i="3"/>
  <c r="I9" i="3"/>
  <c r="O8" i="3"/>
  <c r="J8" i="3"/>
  <c r="I8" i="3"/>
  <c r="G8" i="3"/>
  <c r="H8" i="3" s="1"/>
  <c r="O7" i="3"/>
  <c r="J7" i="3"/>
  <c r="I7" i="3"/>
  <c r="O6" i="3"/>
  <c r="J6" i="3"/>
  <c r="I6" i="3"/>
  <c r="G6" i="3"/>
  <c r="H6" i="3" s="1"/>
  <c r="O5" i="3"/>
  <c r="J5" i="3"/>
  <c r="I5" i="3"/>
  <c r="O4" i="3"/>
  <c r="J4" i="3"/>
  <c r="I4" i="3"/>
  <c r="G4" i="3"/>
  <c r="H4" i="3" s="1"/>
  <c r="O3" i="3"/>
  <c r="J3" i="3"/>
  <c r="I3" i="3"/>
  <c r="J2" i="3"/>
  <c r="I2" i="3"/>
  <c r="H2" i="3"/>
  <c r="G2" i="3"/>
  <c r="G3" i="3" s="1"/>
  <c r="H3" i="3" s="1"/>
  <c r="O3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G39" i="2"/>
  <c r="J38" i="2"/>
  <c r="I38" i="2"/>
  <c r="J37" i="2"/>
  <c r="I37" i="2"/>
  <c r="J36" i="2"/>
  <c r="I36" i="2"/>
  <c r="G36" i="2"/>
  <c r="H36" i="2" s="1"/>
  <c r="J35" i="2"/>
  <c r="I35" i="2"/>
  <c r="J34" i="2"/>
  <c r="I34" i="2"/>
  <c r="J33" i="2"/>
  <c r="I33" i="2"/>
  <c r="G33" i="2"/>
  <c r="H33" i="2" s="1"/>
  <c r="J32" i="2"/>
  <c r="I32" i="2"/>
  <c r="J31" i="2"/>
  <c r="I31" i="2"/>
  <c r="J30" i="2"/>
  <c r="I30" i="2"/>
  <c r="J29" i="2"/>
  <c r="I29" i="2"/>
  <c r="G29" i="2"/>
  <c r="G30" i="2" s="1"/>
  <c r="J28" i="2"/>
  <c r="I28" i="2"/>
  <c r="G28" i="2"/>
  <c r="H28" i="2" s="1"/>
  <c r="O16" i="2"/>
  <c r="J27" i="2"/>
  <c r="I27" i="2"/>
  <c r="J26" i="2"/>
  <c r="I26" i="2"/>
  <c r="G26" i="2"/>
  <c r="P14" i="2"/>
  <c r="N14" i="2"/>
  <c r="J25" i="2"/>
  <c r="I25" i="2"/>
  <c r="J24" i="2"/>
  <c r="I24" i="2"/>
  <c r="J23" i="2"/>
  <c r="I23" i="2"/>
  <c r="J22" i="2"/>
  <c r="I22" i="2"/>
  <c r="G22" i="2"/>
  <c r="H22" i="2" s="1"/>
  <c r="O13" i="2"/>
  <c r="J21" i="2"/>
  <c r="I21" i="2"/>
  <c r="G21" i="2"/>
  <c r="H21" i="2" s="1"/>
  <c r="O11" i="2"/>
  <c r="J20" i="2"/>
  <c r="I20" i="2"/>
  <c r="G20" i="2"/>
  <c r="H20" i="2" s="1"/>
  <c r="O12" i="2"/>
  <c r="J19" i="2"/>
  <c r="I19" i="2"/>
  <c r="G19" i="2"/>
  <c r="H19" i="2" s="1"/>
  <c r="J18" i="2"/>
  <c r="I18" i="2"/>
  <c r="G18" i="2"/>
  <c r="H18" i="2" s="1"/>
  <c r="J17" i="2"/>
  <c r="I17" i="2"/>
  <c r="G17" i="2"/>
  <c r="H17" i="2" s="1"/>
  <c r="O10" i="2"/>
  <c r="J16" i="2"/>
  <c r="I16" i="2"/>
  <c r="O9" i="2"/>
  <c r="J15" i="2"/>
  <c r="I15" i="2"/>
  <c r="G15" i="2"/>
  <c r="H15" i="2" s="1"/>
  <c r="J14" i="2"/>
  <c r="I14" i="2"/>
  <c r="J13" i="2"/>
  <c r="I13" i="2"/>
  <c r="G13" i="2"/>
  <c r="H13" i="2" s="1"/>
  <c r="O8" i="2"/>
  <c r="J12" i="2"/>
  <c r="I12" i="2"/>
  <c r="O7" i="2"/>
  <c r="J11" i="2"/>
  <c r="I11" i="2"/>
  <c r="G11" i="2"/>
  <c r="H11" i="2" s="1"/>
  <c r="J10" i="2"/>
  <c r="I10" i="2"/>
  <c r="G10" i="2"/>
  <c r="H10" i="2" s="1"/>
  <c r="J9" i="2"/>
  <c r="I9" i="2"/>
  <c r="O6" i="2"/>
  <c r="J8" i="2"/>
  <c r="I8" i="2"/>
  <c r="G8" i="2"/>
  <c r="H8" i="2" s="1"/>
  <c r="O5" i="2"/>
  <c r="J7" i="2"/>
  <c r="I7" i="2"/>
  <c r="J6" i="2"/>
  <c r="I6" i="2"/>
  <c r="G6" i="2"/>
  <c r="H6" i="2" s="1"/>
  <c r="J5" i="2"/>
  <c r="I5" i="2"/>
  <c r="O4" i="2"/>
  <c r="J4" i="2"/>
  <c r="I4" i="2"/>
  <c r="G4" i="2"/>
  <c r="H4" i="2" s="1"/>
  <c r="J3" i="2"/>
  <c r="I3" i="2"/>
  <c r="J2" i="2"/>
  <c r="I2" i="2"/>
  <c r="H2" i="2"/>
  <c r="G2" i="2"/>
  <c r="G3" i="2" s="1"/>
  <c r="H3" i="2" s="1"/>
  <c r="H33" i="60" l="1"/>
  <c r="G34" i="60"/>
  <c r="H34" i="60" s="1"/>
  <c r="H15" i="60"/>
  <c r="P7" i="60" s="1"/>
  <c r="G16" i="60"/>
  <c r="H16" i="60" s="1"/>
  <c r="H33" i="62"/>
  <c r="G34" i="62"/>
  <c r="H34" i="62" s="1"/>
  <c r="H32" i="61"/>
  <c r="G33" i="61"/>
  <c r="H49" i="61"/>
  <c r="G50" i="61"/>
  <c r="H38" i="61"/>
  <c r="G39" i="61"/>
  <c r="G7" i="61"/>
  <c r="H7" i="61" s="1"/>
  <c r="H6" i="61"/>
  <c r="H38" i="62"/>
  <c r="G39" i="62"/>
  <c r="G16" i="62"/>
  <c r="H15" i="62"/>
  <c r="H49" i="62"/>
  <c r="G50" i="62"/>
  <c r="H49" i="60"/>
  <c r="G50" i="60"/>
  <c r="H38" i="60"/>
  <c r="G39" i="60"/>
  <c r="G51" i="59"/>
  <c r="H50" i="59"/>
  <c r="G40" i="59"/>
  <c r="H39" i="59"/>
  <c r="H32" i="59"/>
  <c r="G33" i="59"/>
  <c r="G7" i="59"/>
  <c r="H7" i="59" s="1"/>
  <c r="H6" i="59"/>
  <c r="G25" i="57"/>
  <c r="H25" i="57" s="1"/>
  <c r="P13" i="57" s="1"/>
  <c r="P10" i="56"/>
  <c r="G24" i="16"/>
  <c r="H24" i="16" s="1"/>
  <c r="P9" i="66"/>
  <c r="P16" i="16"/>
  <c r="P5" i="16"/>
  <c r="G32" i="28"/>
  <c r="H32" i="28" s="1"/>
  <c r="G48" i="8"/>
  <c r="H48" i="8" s="1"/>
  <c r="P13" i="66"/>
  <c r="G25" i="16"/>
  <c r="H25" i="16" s="1"/>
  <c r="H34" i="25"/>
  <c r="H53" i="69"/>
  <c r="G54" i="69"/>
  <c r="H31" i="69"/>
  <c r="G32" i="69"/>
  <c r="H32" i="69" s="1"/>
  <c r="G25" i="69"/>
  <c r="H25" i="69" s="1"/>
  <c r="H24" i="69"/>
  <c r="P12" i="69" s="1"/>
  <c r="P10" i="68"/>
  <c r="P13" i="68"/>
  <c r="P9" i="68"/>
  <c r="H53" i="68"/>
  <c r="G54" i="68"/>
  <c r="P12" i="68"/>
  <c r="G25" i="67"/>
  <c r="H25" i="67" s="1"/>
  <c r="H24" i="67"/>
  <c r="G54" i="67"/>
  <c r="H53" i="67"/>
  <c r="P10" i="66"/>
  <c r="H53" i="66"/>
  <c r="G54" i="66"/>
  <c r="G54" i="65"/>
  <c r="H53" i="65"/>
  <c r="G25" i="65"/>
  <c r="H25" i="65" s="1"/>
  <c r="H24" i="65"/>
  <c r="P12" i="65" s="1"/>
  <c r="P9" i="64"/>
  <c r="P12" i="64"/>
  <c r="P10" i="64"/>
  <c r="G55" i="64"/>
  <c r="H54" i="64"/>
  <c r="P13" i="64"/>
  <c r="P13" i="63"/>
  <c r="H52" i="63"/>
  <c r="G53" i="63"/>
  <c r="G32" i="63"/>
  <c r="H32" i="63" s="1"/>
  <c r="H31" i="63"/>
  <c r="P9" i="63"/>
  <c r="P10" i="63"/>
  <c r="G25" i="62"/>
  <c r="H25" i="62" s="1"/>
  <c r="H24" i="62"/>
  <c r="G25" i="61"/>
  <c r="H25" i="61" s="1"/>
  <c r="H24" i="61"/>
  <c r="G25" i="60"/>
  <c r="H25" i="60" s="1"/>
  <c r="H24" i="60"/>
  <c r="G25" i="59"/>
  <c r="H25" i="59" s="1"/>
  <c r="H24" i="59"/>
  <c r="H31" i="58"/>
  <c r="G32" i="58"/>
  <c r="H32" i="58" s="1"/>
  <c r="H53" i="58"/>
  <c r="G54" i="58"/>
  <c r="G55" i="57"/>
  <c r="H54" i="57"/>
  <c r="P12" i="57"/>
  <c r="P13" i="56"/>
  <c r="P9" i="56"/>
  <c r="G57" i="56"/>
  <c r="H56" i="56"/>
  <c r="G7" i="54"/>
  <c r="H6" i="54"/>
  <c r="H52" i="55"/>
  <c r="G53" i="55"/>
  <c r="H24" i="55"/>
  <c r="G25" i="55"/>
  <c r="H25" i="55" s="1"/>
  <c r="H53" i="53"/>
  <c r="G54" i="53"/>
  <c r="G25" i="53"/>
  <c r="H25" i="53" s="1"/>
  <c r="H24" i="53"/>
  <c r="G16" i="10"/>
  <c r="H16" i="10" s="1"/>
  <c r="G37" i="10"/>
  <c r="H37" i="10" s="1"/>
  <c r="G48" i="10"/>
  <c r="H48" i="10" s="1"/>
  <c r="G34" i="10"/>
  <c r="H34" i="10" s="1"/>
  <c r="G24" i="25"/>
  <c r="G25" i="25" s="1"/>
  <c r="H25" i="25" s="1"/>
  <c r="H37" i="25"/>
  <c r="G34" i="8"/>
  <c r="H34" i="8" s="1"/>
  <c r="P4" i="4"/>
  <c r="P6" i="16"/>
  <c r="H39" i="28"/>
  <c r="G40" i="28"/>
  <c r="H40" i="28" s="1"/>
  <c r="H36" i="28"/>
  <c r="G37" i="28"/>
  <c r="H37" i="28" s="1"/>
  <c r="G12" i="10"/>
  <c r="H12" i="10" s="1"/>
  <c r="G23" i="10"/>
  <c r="G24" i="10" s="1"/>
  <c r="H24" i="10" s="1"/>
  <c r="G37" i="8"/>
  <c r="H37" i="8" s="1"/>
  <c r="H29" i="4"/>
  <c r="G34" i="4"/>
  <c r="H34" i="4" s="1"/>
  <c r="G48" i="4"/>
  <c r="H48" i="4" s="1"/>
  <c r="G37" i="4"/>
  <c r="H37" i="4" s="1"/>
  <c r="G14" i="3"/>
  <c r="H14" i="3" s="1"/>
  <c r="H26" i="10"/>
  <c r="G12" i="4"/>
  <c r="H12" i="4" s="1"/>
  <c r="H6" i="8"/>
  <c r="G38" i="8"/>
  <c r="H38" i="8" s="1"/>
  <c r="G42" i="8"/>
  <c r="H42" i="8" s="1"/>
  <c r="G46" i="8"/>
  <c r="H46" i="8" s="1"/>
  <c r="P4" i="10"/>
  <c r="G16" i="8"/>
  <c r="H16" i="8" s="1"/>
  <c r="G35" i="10"/>
  <c r="H35" i="10" s="1"/>
  <c r="G14" i="8"/>
  <c r="H14" i="8" s="1"/>
  <c r="G34" i="2"/>
  <c r="H34" i="2" s="1"/>
  <c r="H4" i="4"/>
  <c r="G40" i="8"/>
  <c r="H40" i="8" s="1"/>
  <c r="G44" i="8"/>
  <c r="H44" i="8" s="1"/>
  <c r="G14" i="10"/>
  <c r="H14" i="10" s="1"/>
  <c r="P6" i="25"/>
  <c r="H8" i="4"/>
  <c r="G40" i="4"/>
  <c r="H40" i="4" s="1"/>
  <c r="G33" i="28"/>
  <c r="G51" i="28"/>
  <c r="H50" i="28"/>
  <c r="H24" i="28"/>
  <c r="G25" i="28"/>
  <c r="H6" i="10"/>
  <c r="H8" i="10"/>
  <c r="G44" i="10"/>
  <c r="H44" i="10" s="1"/>
  <c r="H4" i="10"/>
  <c r="G38" i="10"/>
  <c r="H38" i="10" s="1"/>
  <c r="G31" i="25"/>
  <c r="H31" i="25" s="1"/>
  <c r="H4" i="8"/>
  <c r="P4" i="8"/>
  <c r="G30" i="8"/>
  <c r="H30" i="8" s="1"/>
  <c r="G49" i="8"/>
  <c r="H8" i="8"/>
  <c r="H6" i="4"/>
  <c r="G27" i="4"/>
  <c r="H27" i="4" s="1"/>
  <c r="G16" i="4"/>
  <c r="H16" i="4" s="1"/>
  <c r="G49" i="4"/>
  <c r="H49" i="4" s="1"/>
  <c r="H41" i="4"/>
  <c r="G46" i="4"/>
  <c r="H46" i="4" s="1"/>
  <c r="G35" i="3"/>
  <c r="H35" i="3" s="1"/>
  <c r="H34" i="3"/>
  <c r="H11" i="3"/>
  <c r="H22" i="3"/>
  <c r="G41" i="3"/>
  <c r="P4" i="3"/>
  <c r="H33" i="3"/>
  <c r="G37" i="3"/>
  <c r="G38" i="3" s="1"/>
  <c r="H38" i="3" s="1"/>
  <c r="H39" i="3"/>
  <c r="G16" i="3"/>
  <c r="H16" i="3" s="1"/>
  <c r="G30" i="3"/>
  <c r="G37" i="2"/>
  <c r="H37" i="2" s="1"/>
  <c r="P16" i="25"/>
  <c r="P11" i="25"/>
  <c r="H49" i="25"/>
  <c r="G50" i="25"/>
  <c r="P8" i="25"/>
  <c r="P7" i="25"/>
  <c r="P5" i="25"/>
  <c r="H24" i="25"/>
  <c r="P11" i="16"/>
  <c r="H30" i="16"/>
  <c r="G31" i="16"/>
  <c r="H49" i="16"/>
  <c r="G50" i="16"/>
  <c r="P7" i="16"/>
  <c r="P12" i="16"/>
  <c r="P8" i="16"/>
  <c r="P3" i="2"/>
  <c r="P3" i="10"/>
  <c r="P3" i="3"/>
  <c r="P3" i="4"/>
  <c r="P3" i="8"/>
  <c r="G40" i="10"/>
  <c r="H40" i="10" s="1"/>
  <c r="G49" i="10"/>
  <c r="G30" i="10"/>
  <c r="G42" i="10"/>
  <c r="H42" i="10" s="1"/>
  <c r="G46" i="10"/>
  <c r="H46" i="10" s="1"/>
  <c r="G12" i="8"/>
  <c r="H12" i="8" s="1"/>
  <c r="G23" i="8"/>
  <c r="G27" i="8"/>
  <c r="H27" i="8" s="1"/>
  <c r="G35" i="8"/>
  <c r="H35" i="8" s="1"/>
  <c r="H30" i="4"/>
  <c r="G31" i="4"/>
  <c r="G23" i="4"/>
  <c r="G50" i="4"/>
  <c r="G14" i="4"/>
  <c r="H14" i="4" s="1"/>
  <c r="G38" i="4"/>
  <c r="H38" i="4" s="1"/>
  <c r="G35" i="4"/>
  <c r="H35" i="4" s="1"/>
  <c r="G44" i="4"/>
  <c r="H44" i="4" s="1"/>
  <c r="H23" i="3"/>
  <c r="G24" i="3"/>
  <c r="G9" i="3"/>
  <c r="H9" i="3" s="1"/>
  <c r="H37" i="3"/>
  <c r="G5" i="3"/>
  <c r="H5" i="3" s="1"/>
  <c r="G7" i="3"/>
  <c r="H7" i="3" s="1"/>
  <c r="G27" i="3"/>
  <c r="H27" i="3" s="1"/>
  <c r="P4" i="2"/>
  <c r="G35" i="2"/>
  <c r="H35" i="2" s="1"/>
  <c r="G16" i="2"/>
  <c r="H16" i="2" s="1"/>
  <c r="H29" i="2"/>
  <c r="G38" i="2"/>
  <c r="H38" i="2" s="1"/>
  <c r="G5" i="2"/>
  <c r="H5" i="2" s="1"/>
  <c r="G7" i="2"/>
  <c r="H7" i="2" s="1"/>
  <c r="G9" i="2"/>
  <c r="H9" i="2" s="1"/>
  <c r="G12" i="2"/>
  <c r="H12" i="2" s="1"/>
  <c r="G14" i="2"/>
  <c r="H14" i="2" s="1"/>
  <c r="G27" i="2"/>
  <c r="H27" i="2" s="1"/>
  <c r="H26" i="2"/>
  <c r="G23" i="2"/>
  <c r="H39" i="2"/>
  <c r="G40" i="2"/>
  <c r="H30" i="2"/>
  <c r="G31" i="2"/>
  <c r="H33" i="61" l="1"/>
  <c r="G34" i="61"/>
  <c r="P11" i="61"/>
  <c r="P8" i="61"/>
  <c r="P7" i="61"/>
  <c r="P16" i="61"/>
  <c r="P6" i="61"/>
  <c r="P5" i="61"/>
  <c r="H39" i="61"/>
  <c r="G40" i="61"/>
  <c r="H50" i="61"/>
  <c r="G51" i="61"/>
  <c r="G51" i="62"/>
  <c r="H50" i="62"/>
  <c r="H16" i="62"/>
  <c r="P7" i="62" s="1"/>
  <c r="G17" i="62"/>
  <c r="H17" i="62" s="1"/>
  <c r="G40" i="62"/>
  <c r="H39" i="62"/>
  <c r="H39" i="60"/>
  <c r="G40" i="60"/>
  <c r="H50" i="60"/>
  <c r="G51" i="60"/>
  <c r="P12" i="60"/>
  <c r="P11" i="60"/>
  <c r="H33" i="59"/>
  <c r="G34" i="59"/>
  <c r="H51" i="59"/>
  <c r="G52" i="59"/>
  <c r="P16" i="59"/>
  <c r="P7" i="59"/>
  <c r="P11" i="59"/>
  <c r="P6" i="59"/>
  <c r="H40" i="59"/>
  <c r="G41" i="59"/>
  <c r="P8" i="59"/>
  <c r="P5" i="59"/>
  <c r="P9" i="57"/>
  <c r="P10" i="57"/>
  <c r="P16" i="4"/>
  <c r="P13" i="65"/>
  <c r="P10" i="65"/>
  <c r="P5" i="4"/>
  <c r="P9" i="69"/>
  <c r="P13" i="69"/>
  <c r="G55" i="69"/>
  <c r="H54" i="69"/>
  <c r="G55" i="68"/>
  <c r="H54" i="68"/>
  <c r="G55" i="67"/>
  <c r="H54" i="67"/>
  <c r="P10" i="67"/>
  <c r="P9" i="67"/>
  <c r="P12" i="67"/>
  <c r="P13" i="67"/>
  <c r="H54" i="66"/>
  <c r="G55" i="66"/>
  <c r="G55" i="65"/>
  <c r="H54" i="65"/>
  <c r="G56" i="64"/>
  <c r="H55" i="64"/>
  <c r="H53" i="63"/>
  <c r="G54" i="63"/>
  <c r="P13" i="60"/>
  <c r="P12" i="59"/>
  <c r="G55" i="58"/>
  <c r="H54" i="58"/>
  <c r="P10" i="58"/>
  <c r="G56" i="57"/>
  <c r="H55" i="57"/>
  <c r="G58" i="56"/>
  <c r="H57" i="56"/>
  <c r="H7" i="54"/>
  <c r="G8" i="54"/>
  <c r="P10" i="55"/>
  <c r="P13" i="55"/>
  <c r="P9" i="55"/>
  <c r="P12" i="55"/>
  <c r="G54" i="55"/>
  <c r="H53" i="55"/>
  <c r="P9" i="53"/>
  <c r="P13" i="53"/>
  <c r="P10" i="53"/>
  <c r="G55" i="53"/>
  <c r="H54" i="53"/>
  <c r="H23" i="10"/>
  <c r="P12" i="10" s="1"/>
  <c r="G25" i="10"/>
  <c r="H25" i="10" s="1"/>
  <c r="P7" i="4"/>
  <c r="P6" i="4"/>
  <c r="P5" i="3"/>
  <c r="P6" i="10"/>
  <c r="G32" i="25"/>
  <c r="H32" i="25" s="1"/>
  <c r="P10" i="25" s="1"/>
  <c r="P16" i="8"/>
  <c r="P11" i="4"/>
  <c r="P11" i="10"/>
  <c r="P16" i="10"/>
  <c r="G31" i="8"/>
  <c r="H31" i="8" s="1"/>
  <c r="P8" i="10"/>
  <c r="P8" i="4"/>
  <c r="P11" i="8"/>
  <c r="H40" i="2"/>
  <c r="G41" i="2"/>
  <c r="P5" i="8"/>
  <c r="P7" i="10"/>
  <c r="P6" i="8"/>
  <c r="P5" i="10"/>
  <c r="H25" i="28"/>
  <c r="G26" i="28"/>
  <c r="H33" i="28"/>
  <c r="G34" i="28"/>
  <c r="H34" i="28" s="1"/>
  <c r="H51" i="28"/>
  <c r="G52" i="28"/>
  <c r="P12" i="25"/>
  <c r="H49" i="8"/>
  <c r="G50" i="8"/>
  <c r="H41" i="3"/>
  <c r="G42" i="3"/>
  <c r="P11" i="3"/>
  <c r="H30" i="3"/>
  <c r="G31" i="3"/>
  <c r="P9" i="25"/>
  <c r="H50" i="25"/>
  <c r="G51" i="25"/>
  <c r="P9" i="16"/>
  <c r="G51" i="16"/>
  <c r="H50" i="16"/>
  <c r="H31" i="16"/>
  <c r="G32" i="16"/>
  <c r="H32" i="16" s="1"/>
  <c r="H30" i="10"/>
  <c r="G31" i="10"/>
  <c r="H49" i="10"/>
  <c r="G50" i="10"/>
  <c r="G32" i="8"/>
  <c r="H32" i="8" s="1"/>
  <c r="H23" i="8"/>
  <c r="G24" i="8"/>
  <c r="P7" i="8"/>
  <c r="P8" i="8"/>
  <c r="G51" i="4"/>
  <c r="H50" i="4"/>
  <c r="G24" i="4"/>
  <c r="H23" i="4"/>
  <c r="H31" i="4"/>
  <c r="G32" i="4"/>
  <c r="H32" i="4" s="1"/>
  <c r="P16" i="3"/>
  <c r="P6" i="3"/>
  <c r="G25" i="3"/>
  <c r="H25" i="3" s="1"/>
  <c r="H24" i="3"/>
  <c r="P7" i="3"/>
  <c r="P8" i="3"/>
  <c r="P5" i="2"/>
  <c r="P11" i="2"/>
  <c r="P16" i="2"/>
  <c r="P7" i="2"/>
  <c r="P8" i="2"/>
  <c r="P6" i="2"/>
  <c r="H31" i="2"/>
  <c r="G32" i="2"/>
  <c r="H32" i="2" s="1"/>
  <c r="H23" i="2"/>
  <c r="G24" i="2"/>
  <c r="H51" i="62" l="1"/>
  <c r="G52" i="62"/>
  <c r="H34" i="61"/>
  <c r="G35" i="61"/>
  <c r="H35" i="61" s="1"/>
  <c r="G52" i="61"/>
  <c r="H51" i="61"/>
  <c r="H40" i="61"/>
  <c r="G41" i="61"/>
  <c r="H40" i="62"/>
  <c r="G41" i="62"/>
  <c r="P8" i="62"/>
  <c r="P11" i="62"/>
  <c r="P12" i="62"/>
  <c r="G52" i="60"/>
  <c r="H51" i="60"/>
  <c r="H40" i="60"/>
  <c r="G41" i="60"/>
  <c r="H34" i="59"/>
  <c r="G35" i="59"/>
  <c r="H35" i="59" s="1"/>
  <c r="H52" i="59"/>
  <c r="G53" i="59"/>
  <c r="H41" i="59"/>
  <c r="G42" i="59"/>
  <c r="P9" i="10"/>
  <c r="G56" i="69"/>
  <c r="H55" i="69"/>
  <c r="G56" i="68"/>
  <c r="H55" i="68"/>
  <c r="G56" i="67"/>
  <c r="H55" i="67"/>
  <c r="G56" i="66"/>
  <c r="H55" i="66"/>
  <c r="G56" i="65"/>
  <c r="H55" i="65"/>
  <c r="H56" i="64"/>
  <c r="G57" i="64"/>
  <c r="G55" i="63"/>
  <c r="H54" i="63"/>
  <c r="G56" i="58"/>
  <c r="H55" i="58"/>
  <c r="H56" i="57"/>
  <c r="G57" i="57"/>
  <c r="H58" i="56"/>
  <c r="G59" i="56"/>
  <c r="H8" i="54"/>
  <c r="G9" i="54"/>
  <c r="G55" i="55"/>
  <c r="H54" i="55"/>
  <c r="H55" i="53"/>
  <c r="G56" i="53"/>
  <c r="G42" i="2"/>
  <c r="H41" i="2"/>
  <c r="H26" i="28"/>
  <c r="G27" i="28"/>
  <c r="H27" i="28" s="1"/>
  <c r="H52" i="28"/>
  <c r="G53" i="28"/>
  <c r="H50" i="8"/>
  <c r="G51" i="8"/>
  <c r="H42" i="3"/>
  <c r="G43" i="3"/>
  <c r="H31" i="3"/>
  <c r="G32" i="3"/>
  <c r="H32" i="3" s="1"/>
  <c r="H51" i="25"/>
  <c r="G52" i="25"/>
  <c r="H51" i="16"/>
  <c r="G52" i="16"/>
  <c r="G51" i="10"/>
  <c r="H50" i="10"/>
  <c r="H31" i="10"/>
  <c r="G32" i="10"/>
  <c r="H32" i="10" s="1"/>
  <c r="H24" i="8"/>
  <c r="G25" i="8"/>
  <c r="H25" i="8" s="1"/>
  <c r="P9" i="8" s="1"/>
  <c r="H24" i="4"/>
  <c r="G25" i="4"/>
  <c r="H25" i="4" s="1"/>
  <c r="P9" i="4" s="1"/>
  <c r="H51" i="4"/>
  <c r="G52" i="4"/>
  <c r="P12" i="3"/>
  <c r="P9" i="3"/>
  <c r="H24" i="2"/>
  <c r="P12" i="2" s="1"/>
  <c r="G25" i="2"/>
  <c r="H25" i="2" s="1"/>
  <c r="H52" i="60" l="1"/>
  <c r="G53" i="60"/>
  <c r="H52" i="62"/>
  <c r="G53" i="62"/>
  <c r="P13" i="61"/>
  <c r="H52" i="61"/>
  <c r="G53" i="61"/>
  <c r="H41" i="61"/>
  <c r="G42" i="61"/>
  <c r="H41" i="62"/>
  <c r="G42" i="62"/>
  <c r="H41" i="60"/>
  <c r="G42" i="60"/>
  <c r="P13" i="59"/>
  <c r="H53" i="59"/>
  <c r="G54" i="59"/>
  <c r="H42" i="59"/>
  <c r="G43" i="59"/>
  <c r="P9" i="59"/>
  <c r="G57" i="69"/>
  <c r="H56" i="69"/>
  <c r="G57" i="68"/>
  <c r="H56" i="68"/>
  <c r="G57" i="67"/>
  <c r="H56" i="67"/>
  <c r="G57" i="66"/>
  <c r="H56" i="66"/>
  <c r="G57" i="65"/>
  <c r="H56" i="65"/>
  <c r="G58" i="64"/>
  <c r="H57" i="64"/>
  <c r="G56" i="63"/>
  <c r="H55" i="63"/>
  <c r="G57" i="58"/>
  <c r="H56" i="58"/>
  <c r="G58" i="57"/>
  <c r="H57" i="57"/>
  <c r="H59" i="56"/>
  <c r="G60" i="56"/>
  <c r="H9" i="54"/>
  <c r="G10" i="54"/>
  <c r="G56" i="55"/>
  <c r="H55" i="55"/>
  <c r="G57" i="53"/>
  <c r="H56" i="53"/>
  <c r="P10" i="3"/>
  <c r="H42" i="2"/>
  <c r="G43" i="2"/>
  <c r="P10" i="28"/>
  <c r="P12" i="28"/>
  <c r="P9" i="28"/>
  <c r="G54" i="28"/>
  <c r="H53" i="28"/>
  <c r="P10" i="10"/>
  <c r="P12" i="8"/>
  <c r="H51" i="8"/>
  <c r="G52" i="8"/>
  <c r="P10" i="4"/>
  <c r="H43" i="3"/>
  <c r="G44" i="3"/>
  <c r="G53" i="25"/>
  <c r="H52" i="25"/>
  <c r="H52" i="16"/>
  <c r="G53" i="16"/>
  <c r="H51" i="10"/>
  <c r="G52" i="10"/>
  <c r="P10" i="8"/>
  <c r="H52" i="4"/>
  <c r="G53" i="4"/>
  <c r="P12" i="4"/>
  <c r="P9" i="2"/>
  <c r="P10" i="2"/>
  <c r="H53" i="60" l="1"/>
  <c r="G54" i="60"/>
  <c r="G54" i="62"/>
  <c r="H53" i="62"/>
  <c r="H53" i="61"/>
  <c r="G54" i="61"/>
  <c r="H42" i="61"/>
  <c r="G43" i="61"/>
  <c r="P9" i="61"/>
  <c r="H42" i="62"/>
  <c r="P9" i="62" s="1"/>
  <c r="G43" i="62"/>
  <c r="H42" i="60"/>
  <c r="G43" i="60"/>
  <c r="H54" i="59"/>
  <c r="G55" i="59"/>
  <c r="H43" i="59"/>
  <c r="G44" i="59"/>
  <c r="H44" i="59" s="1"/>
  <c r="G58" i="69"/>
  <c r="H57" i="69"/>
  <c r="G58" i="68"/>
  <c r="H57" i="68"/>
  <c r="G58" i="67"/>
  <c r="H57" i="67"/>
  <c r="G58" i="66"/>
  <c r="H57" i="66"/>
  <c r="G58" i="65"/>
  <c r="H57" i="65"/>
  <c r="H58" i="64"/>
  <c r="G59" i="64"/>
  <c r="G57" i="63"/>
  <c r="H56" i="63"/>
  <c r="H57" i="58"/>
  <c r="G58" i="58"/>
  <c r="H58" i="57"/>
  <c r="G59" i="57"/>
  <c r="G61" i="56"/>
  <c r="H60" i="56"/>
  <c r="H10" i="54"/>
  <c r="G11" i="54"/>
  <c r="G57" i="55"/>
  <c r="H56" i="55"/>
  <c r="G58" i="53"/>
  <c r="H57" i="53"/>
  <c r="H43" i="2"/>
  <c r="G44" i="2"/>
  <c r="H54" i="28"/>
  <c r="G55" i="28"/>
  <c r="H52" i="8"/>
  <c r="G53" i="8"/>
  <c r="H44" i="3"/>
  <c r="G45" i="3"/>
  <c r="H53" i="25"/>
  <c r="G54" i="25"/>
  <c r="G54" i="16"/>
  <c r="H53" i="16"/>
  <c r="H52" i="10"/>
  <c r="G53" i="10"/>
  <c r="G54" i="4"/>
  <c r="H53" i="4"/>
  <c r="G55" i="60" l="1"/>
  <c r="H54" i="60"/>
  <c r="G55" i="62"/>
  <c r="H54" i="62"/>
  <c r="H54" i="61"/>
  <c r="G55" i="61"/>
  <c r="H43" i="61"/>
  <c r="G44" i="61"/>
  <c r="H44" i="61" s="1"/>
  <c r="H43" i="62"/>
  <c r="G44" i="62"/>
  <c r="H44" i="62" s="1"/>
  <c r="H43" i="60"/>
  <c r="G44" i="60"/>
  <c r="H44" i="60" s="1"/>
  <c r="P10" i="60"/>
  <c r="P9" i="60"/>
  <c r="G56" i="59"/>
  <c r="H55" i="59"/>
  <c r="H58" i="69"/>
  <c r="G59" i="69"/>
  <c r="H58" i="68"/>
  <c r="G59" i="68"/>
  <c r="H58" i="67"/>
  <c r="G59" i="67"/>
  <c r="H58" i="66"/>
  <c r="G59" i="66"/>
  <c r="H58" i="65"/>
  <c r="G59" i="65"/>
  <c r="H59" i="64"/>
  <c r="G60" i="64"/>
  <c r="G58" i="63"/>
  <c r="H57" i="63"/>
  <c r="H58" i="58"/>
  <c r="G59" i="58"/>
  <c r="G60" i="57"/>
  <c r="H59" i="57"/>
  <c r="G62" i="56"/>
  <c r="H61" i="56"/>
  <c r="G12" i="54"/>
  <c r="H11" i="54"/>
  <c r="H57" i="55"/>
  <c r="G58" i="55"/>
  <c r="H58" i="53"/>
  <c r="G59" i="53"/>
  <c r="H44" i="2"/>
  <c r="G45" i="2"/>
  <c r="H55" i="28"/>
  <c r="G56" i="28"/>
  <c r="G54" i="8"/>
  <c r="H53" i="8"/>
  <c r="G46" i="3"/>
  <c r="H45" i="3"/>
  <c r="H54" i="25"/>
  <c r="G55" i="25"/>
  <c r="H54" i="16"/>
  <c r="G55" i="16"/>
  <c r="G54" i="10"/>
  <c r="H53" i="10"/>
  <c r="H54" i="4"/>
  <c r="G55" i="4"/>
  <c r="G56" i="60" l="1"/>
  <c r="H55" i="60"/>
  <c r="G56" i="62"/>
  <c r="H55" i="62"/>
  <c r="G56" i="61"/>
  <c r="H55" i="61"/>
  <c r="P10" i="61"/>
  <c r="P10" i="62"/>
  <c r="H56" i="59"/>
  <c r="G57" i="59"/>
  <c r="H59" i="69"/>
  <c r="G60" i="69"/>
  <c r="G60" i="68"/>
  <c r="H59" i="68"/>
  <c r="G60" i="67"/>
  <c r="H59" i="67"/>
  <c r="G60" i="66"/>
  <c r="H59" i="66"/>
  <c r="H59" i="65"/>
  <c r="G60" i="65"/>
  <c r="G61" i="64"/>
  <c r="H60" i="64"/>
  <c r="H58" i="63"/>
  <c r="G59" i="63"/>
  <c r="G60" i="58"/>
  <c r="H59" i="58"/>
  <c r="G61" i="57"/>
  <c r="H60" i="57"/>
  <c r="G63" i="56"/>
  <c r="H62" i="56"/>
  <c r="H12" i="54"/>
  <c r="G13" i="54"/>
  <c r="H58" i="55"/>
  <c r="G59" i="55"/>
  <c r="G60" i="53"/>
  <c r="H59" i="53"/>
  <c r="H45" i="2"/>
  <c r="G46" i="2"/>
  <c r="G57" i="28"/>
  <c r="H56" i="28"/>
  <c r="H54" i="8"/>
  <c r="G55" i="8"/>
  <c r="H46" i="3"/>
  <c r="G47" i="3"/>
  <c r="H55" i="25"/>
  <c r="G56" i="25"/>
  <c r="H55" i="16"/>
  <c r="G56" i="16"/>
  <c r="H54" i="10"/>
  <c r="G55" i="10"/>
  <c r="H55" i="4"/>
  <c r="G56" i="4"/>
  <c r="G57" i="60" l="1"/>
  <c r="H56" i="60"/>
  <c r="H56" i="62"/>
  <c r="G57" i="62"/>
  <c r="G57" i="61"/>
  <c r="H56" i="61"/>
  <c r="G58" i="59"/>
  <c r="H57" i="59"/>
  <c r="G61" i="69"/>
  <c r="H60" i="69"/>
  <c r="H60" i="68"/>
  <c r="G61" i="68"/>
  <c r="G61" i="67"/>
  <c r="H60" i="67"/>
  <c r="G61" i="66"/>
  <c r="H60" i="66"/>
  <c r="G61" i="65"/>
  <c r="H60" i="65"/>
  <c r="G62" i="64"/>
  <c r="H61" i="64"/>
  <c r="H59" i="63"/>
  <c r="G60" i="63"/>
  <c r="H60" i="58"/>
  <c r="G61" i="58"/>
  <c r="G62" i="57"/>
  <c r="H61" i="57"/>
  <c r="H63" i="56"/>
  <c r="G64" i="56"/>
  <c r="G14" i="54"/>
  <c r="H13" i="54"/>
  <c r="G60" i="55"/>
  <c r="H59" i="55"/>
  <c r="G61" i="53"/>
  <c r="H60" i="53"/>
  <c r="H46" i="2"/>
  <c r="G47" i="2"/>
  <c r="H57" i="28"/>
  <c r="G58" i="28"/>
  <c r="G56" i="8"/>
  <c r="H55" i="8"/>
  <c r="H47" i="3"/>
  <c r="G48" i="3"/>
  <c r="H56" i="25"/>
  <c r="G57" i="25"/>
  <c r="G57" i="16"/>
  <c r="H56" i="16"/>
  <c r="H55" i="10"/>
  <c r="G56" i="10"/>
  <c r="H56" i="4"/>
  <c r="G57" i="4"/>
  <c r="H57" i="60" l="1"/>
  <c r="G58" i="60"/>
  <c r="G58" i="62"/>
  <c r="H57" i="62"/>
  <c r="G58" i="61"/>
  <c r="H57" i="61"/>
  <c r="H58" i="59"/>
  <c r="G59" i="59"/>
  <c r="H61" i="69"/>
  <c r="G62" i="69"/>
  <c r="G62" i="68"/>
  <c r="H61" i="68"/>
  <c r="G62" i="67"/>
  <c r="H61" i="67"/>
  <c r="G62" i="66"/>
  <c r="H61" i="66"/>
  <c r="G62" i="65"/>
  <c r="H61" i="65"/>
  <c r="G63" i="64"/>
  <c r="H62" i="64"/>
  <c r="H60" i="63"/>
  <c r="G61" i="63"/>
  <c r="G62" i="58"/>
  <c r="H61" i="58"/>
  <c r="G63" i="57"/>
  <c r="H62" i="57"/>
  <c r="G65" i="56"/>
  <c r="H64" i="56"/>
  <c r="H14" i="54"/>
  <c r="G15" i="54"/>
  <c r="G61" i="55"/>
  <c r="H60" i="55"/>
  <c r="G62" i="53"/>
  <c r="H61" i="53"/>
  <c r="H47" i="2"/>
  <c r="G48" i="2"/>
  <c r="H58" i="28"/>
  <c r="G59" i="28"/>
  <c r="G57" i="8"/>
  <c r="H56" i="8"/>
  <c r="H48" i="3"/>
  <c r="G49" i="3"/>
  <c r="H57" i="25"/>
  <c r="G58" i="25"/>
  <c r="H57" i="16"/>
  <c r="G58" i="16"/>
  <c r="G57" i="10"/>
  <c r="H56" i="10"/>
  <c r="H57" i="4"/>
  <c r="G58" i="4"/>
  <c r="H58" i="60" l="1"/>
  <c r="G59" i="60"/>
  <c r="H58" i="62"/>
  <c r="G59" i="62"/>
  <c r="H58" i="61"/>
  <c r="G59" i="61"/>
  <c r="G60" i="59"/>
  <c r="H59" i="59"/>
  <c r="H62" i="69"/>
  <c r="G63" i="69"/>
  <c r="G63" i="68"/>
  <c r="H62" i="68"/>
  <c r="G63" i="67"/>
  <c r="H62" i="67"/>
  <c r="G63" i="66"/>
  <c r="H62" i="66"/>
  <c r="G63" i="65"/>
  <c r="H62" i="65"/>
  <c r="H63" i="64"/>
  <c r="G64" i="64"/>
  <c r="G62" i="63"/>
  <c r="H61" i="63"/>
  <c r="H62" i="58"/>
  <c r="G63" i="58"/>
  <c r="H63" i="57"/>
  <c r="G64" i="57"/>
  <c r="G66" i="56"/>
  <c r="H65" i="56"/>
  <c r="H15" i="54"/>
  <c r="G16" i="54"/>
  <c r="H61" i="55"/>
  <c r="G62" i="55"/>
  <c r="G63" i="53"/>
  <c r="H62" i="53"/>
  <c r="H48" i="2"/>
  <c r="G49" i="2"/>
  <c r="G60" i="28"/>
  <c r="H59" i="28"/>
  <c r="H57" i="8"/>
  <c r="G58" i="8"/>
  <c r="G50" i="3"/>
  <c r="H49" i="3"/>
  <c r="G59" i="25"/>
  <c r="H58" i="25"/>
  <c r="H58" i="16"/>
  <c r="G59" i="16"/>
  <c r="H57" i="10"/>
  <c r="G58" i="10"/>
  <c r="H58" i="4"/>
  <c r="G59" i="4"/>
  <c r="H59" i="60" l="1"/>
  <c r="G60" i="60"/>
  <c r="G60" i="62"/>
  <c r="H59" i="62"/>
  <c r="H59" i="61"/>
  <c r="G60" i="61"/>
  <c r="G61" i="59"/>
  <c r="H60" i="59"/>
  <c r="H63" i="69"/>
  <c r="G64" i="69"/>
  <c r="H63" i="68"/>
  <c r="G64" i="68"/>
  <c r="H63" i="67"/>
  <c r="G64" i="67"/>
  <c r="H63" i="66"/>
  <c r="G64" i="66"/>
  <c r="H63" i="65"/>
  <c r="G64" i="65"/>
  <c r="H64" i="64"/>
  <c r="G65" i="64"/>
  <c r="G63" i="63"/>
  <c r="H62" i="63"/>
  <c r="H63" i="58"/>
  <c r="G64" i="58"/>
  <c r="H64" i="57"/>
  <c r="G65" i="57"/>
  <c r="H66" i="56"/>
  <c r="G67" i="56"/>
  <c r="H16" i="54"/>
  <c r="G17" i="54"/>
  <c r="G63" i="55"/>
  <c r="H62" i="55"/>
  <c r="H63" i="53"/>
  <c r="G64" i="53"/>
  <c r="G50" i="2"/>
  <c r="H49" i="2"/>
  <c r="H60" i="28"/>
  <c r="G61" i="28"/>
  <c r="H58" i="8"/>
  <c r="G59" i="8"/>
  <c r="G51" i="3"/>
  <c r="H50" i="3"/>
  <c r="H59" i="25"/>
  <c r="G60" i="25"/>
  <c r="G60" i="16"/>
  <c r="H59" i="16"/>
  <c r="H58" i="10"/>
  <c r="G59" i="10"/>
  <c r="G60" i="4"/>
  <c r="H59" i="4"/>
  <c r="H60" i="60" l="1"/>
  <c r="G61" i="60"/>
  <c r="G61" i="62"/>
  <c r="H60" i="62"/>
  <c r="G61" i="61"/>
  <c r="H60" i="61"/>
  <c r="G62" i="59"/>
  <c r="H61" i="59"/>
  <c r="H64" i="69"/>
  <c r="G65" i="69"/>
  <c r="G65" i="68"/>
  <c r="H64" i="68"/>
  <c r="G65" i="67"/>
  <c r="H64" i="67"/>
  <c r="H64" i="66"/>
  <c r="G65" i="66"/>
  <c r="H64" i="65"/>
  <c r="G65" i="65"/>
  <c r="G66" i="64"/>
  <c r="H65" i="64"/>
  <c r="H63" i="63"/>
  <c r="G64" i="63"/>
  <c r="H64" i="58"/>
  <c r="G65" i="58"/>
  <c r="G66" i="57"/>
  <c r="H65" i="57"/>
  <c r="G68" i="56"/>
  <c r="H67" i="56"/>
  <c r="H17" i="54"/>
  <c r="G18" i="54"/>
  <c r="H63" i="55"/>
  <c r="G64" i="55"/>
  <c r="G65" i="53"/>
  <c r="H64" i="53"/>
  <c r="G51" i="2"/>
  <c r="H50" i="2"/>
  <c r="H61" i="28"/>
  <c r="G62" i="28"/>
  <c r="G60" i="8"/>
  <c r="H59" i="8"/>
  <c r="H51" i="3"/>
  <c r="G52" i="3"/>
  <c r="H60" i="25"/>
  <c r="G61" i="25"/>
  <c r="H60" i="16"/>
  <c r="G61" i="16"/>
  <c r="G60" i="10"/>
  <c r="H59" i="10"/>
  <c r="H60" i="4"/>
  <c r="G61" i="4"/>
  <c r="H61" i="60" l="1"/>
  <c r="G62" i="60"/>
  <c r="H61" i="62"/>
  <c r="G62" i="62"/>
  <c r="G62" i="61"/>
  <c r="H61" i="61"/>
  <c r="G63" i="59"/>
  <c r="H62" i="59"/>
  <c r="H65" i="69"/>
  <c r="G66" i="69"/>
  <c r="G66" i="68"/>
  <c r="H65" i="68"/>
  <c r="G66" i="67"/>
  <c r="H65" i="67"/>
  <c r="H65" i="66"/>
  <c r="G66" i="66"/>
  <c r="G66" i="65"/>
  <c r="H65" i="65"/>
  <c r="G67" i="64"/>
  <c r="H66" i="64"/>
  <c r="H64" i="63"/>
  <c r="G65" i="63"/>
  <c r="G66" i="58"/>
  <c r="H65" i="58"/>
  <c r="G67" i="57"/>
  <c r="H66" i="57"/>
  <c r="G69" i="56"/>
  <c r="H68" i="56"/>
  <c r="H18" i="54"/>
  <c r="G19" i="54"/>
  <c r="G65" i="55"/>
  <c r="H64" i="55"/>
  <c r="G66" i="53"/>
  <c r="H65" i="53"/>
  <c r="H51" i="2"/>
  <c r="G52" i="2"/>
  <c r="G63" i="28"/>
  <c r="H62" i="28"/>
  <c r="H60" i="8"/>
  <c r="G61" i="8"/>
  <c r="G53" i="3"/>
  <c r="H52" i="3"/>
  <c r="G62" i="25"/>
  <c r="H61" i="25"/>
  <c r="H61" i="16"/>
  <c r="G62" i="16"/>
  <c r="H60" i="10"/>
  <c r="G61" i="10"/>
  <c r="H61" i="4"/>
  <c r="G62" i="4"/>
  <c r="G63" i="60" l="1"/>
  <c r="H62" i="60"/>
  <c r="G63" i="62"/>
  <c r="H62" i="62"/>
  <c r="G63" i="61"/>
  <c r="H62" i="61"/>
  <c r="H63" i="59"/>
  <c r="G64" i="59"/>
  <c r="G67" i="69"/>
  <c r="H66" i="69"/>
  <c r="G67" i="68"/>
  <c r="H66" i="68"/>
  <c r="G67" i="67"/>
  <c r="H66" i="67"/>
  <c r="G67" i="66"/>
  <c r="H66" i="66"/>
  <c r="G67" i="65"/>
  <c r="H66" i="65"/>
  <c r="H67" i="64"/>
  <c r="G68" i="64"/>
  <c r="H65" i="63"/>
  <c r="G66" i="63"/>
  <c r="G67" i="58"/>
  <c r="H66" i="58"/>
  <c r="H67" i="57"/>
  <c r="G68" i="57"/>
  <c r="H69" i="56"/>
  <c r="G70" i="56"/>
  <c r="H19" i="54"/>
  <c r="G20" i="54"/>
  <c r="G66" i="55"/>
  <c r="H65" i="55"/>
  <c r="H66" i="53"/>
  <c r="G67" i="53"/>
  <c r="G53" i="2"/>
  <c r="H52" i="2"/>
  <c r="H63" i="28"/>
  <c r="G64" i="28"/>
  <c r="G62" i="8"/>
  <c r="H61" i="8"/>
  <c r="H53" i="3"/>
  <c r="G54" i="3"/>
  <c r="H62" i="25"/>
  <c r="G63" i="25"/>
  <c r="G63" i="16"/>
  <c r="H62" i="16"/>
  <c r="H61" i="10"/>
  <c r="G62" i="10"/>
  <c r="G63" i="4"/>
  <c r="H62" i="4"/>
  <c r="H63" i="60" l="1"/>
  <c r="G64" i="60"/>
  <c r="H63" i="62"/>
  <c r="G64" i="62"/>
  <c r="H63" i="61"/>
  <c r="G64" i="61"/>
  <c r="H64" i="59"/>
  <c r="G65" i="59"/>
  <c r="G68" i="69"/>
  <c r="H67" i="69"/>
  <c r="G68" i="68"/>
  <c r="H67" i="68"/>
  <c r="G68" i="67"/>
  <c r="H67" i="67"/>
  <c r="G68" i="66"/>
  <c r="H67" i="66"/>
  <c r="G68" i="65"/>
  <c r="H67" i="65"/>
  <c r="H68" i="64"/>
  <c r="G69" i="64"/>
  <c r="G67" i="63"/>
  <c r="H66" i="63"/>
  <c r="G68" i="58"/>
  <c r="H67" i="58"/>
  <c r="G69" i="57"/>
  <c r="H68" i="57"/>
  <c r="G71" i="56"/>
  <c r="H70" i="56"/>
  <c r="H20" i="54"/>
  <c r="G21" i="54"/>
  <c r="G67" i="55"/>
  <c r="H66" i="55"/>
  <c r="G68" i="53"/>
  <c r="H67" i="53"/>
  <c r="H53" i="2"/>
  <c r="G54" i="2"/>
  <c r="H64" i="28"/>
  <c r="G65" i="28"/>
  <c r="H62" i="8"/>
  <c r="G63" i="8"/>
  <c r="H54" i="3"/>
  <c r="G55" i="3"/>
  <c r="H63" i="25"/>
  <c r="G64" i="25"/>
  <c r="H63" i="16"/>
  <c r="G64" i="16"/>
  <c r="G63" i="10"/>
  <c r="H62" i="10"/>
  <c r="H63" i="4"/>
  <c r="G64" i="4"/>
  <c r="G65" i="60" l="1"/>
  <c r="H64" i="60"/>
  <c r="H64" i="62"/>
  <c r="G65" i="62"/>
  <c r="H64" i="61"/>
  <c r="G65" i="61"/>
  <c r="G66" i="59"/>
  <c r="H65" i="59"/>
  <c r="G69" i="69"/>
  <c r="H68" i="69"/>
  <c r="G69" i="68"/>
  <c r="H68" i="68"/>
  <c r="G69" i="67"/>
  <c r="H68" i="67"/>
  <c r="G69" i="66"/>
  <c r="H68" i="66"/>
  <c r="G69" i="65"/>
  <c r="H68" i="65"/>
  <c r="H69" i="64"/>
  <c r="G70" i="64"/>
  <c r="G68" i="63"/>
  <c r="H67" i="63"/>
  <c r="H68" i="58"/>
  <c r="G69" i="58"/>
  <c r="H69" i="57"/>
  <c r="G70" i="57"/>
  <c r="G72" i="56"/>
  <c r="H71" i="56"/>
  <c r="H21" i="54"/>
  <c r="G22" i="54"/>
  <c r="G68" i="55"/>
  <c r="H67" i="55"/>
  <c r="G69" i="53"/>
  <c r="H68" i="53"/>
  <c r="H54" i="2"/>
  <c r="G55" i="2"/>
  <c r="G66" i="28"/>
  <c r="H65" i="28"/>
  <c r="H63" i="8"/>
  <c r="G64" i="8"/>
  <c r="G56" i="3"/>
  <c r="H55" i="3"/>
  <c r="H64" i="25"/>
  <c r="G65" i="25"/>
  <c r="H64" i="16"/>
  <c r="G65" i="16"/>
  <c r="H63" i="10"/>
  <c r="G64" i="10"/>
  <c r="H64" i="4"/>
  <c r="G65" i="4"/>
  <c r="H65" i="60" l="1"/>
  <c r="G66" i="60"/>
  <c r="H65" i="62"/>
  <c r="G66" i="62"/>
  <c r="G66" i="61"/>
  <c r="H65" i="61"/>
  <c r="G67" i="59"/>
  <c r="H66" i="59"/>
  <c r="H69" i="69"/>
  <c r="G70" i="69"/>
  <c r="H69" i="68"/>
  <c r="G70" i="68"/>
  <c r="H69" i="67"/>
  <c r="G70" i="67"/>
  <c r="H69" i="66"/>
  <c r="G70" i="66"/>
  <c r="H69" i="65"/>
  <c r="G70" i="65"/>
  <c r="H70" i="64"/>
  <c r="G71" i="64"/>
  <c r="G69" i="63"/>
  <c r="H68" i="63"/>
  <c r="H69" i="58"/>
  <c r="G70" i="58"/>
  <c r="H70" i="57"/>
  <c r="G71" i="57"/>
  <c r="G73" i="56"/>
  <c r="H72" i="56"/>
  <c r="H22" i="54"/>
  <c r="G23" i="54"/>
  <c r="H68" i="55"/>
  <c r="G69" i="55"/>
  <c r="H69" i="53"/>
  <c r="G70" i="53"/>
  <c r="G56" i="2"/>
  <c r="H55" i="2"/>
  <c r="H66" i="28"/>
  <c r="G67" i="28"/>
  <c r="H64" i="8"/>
  <c r="G65" i="8"/>
  <c r="H56" i="3"/>
  <c r="G57" i="3"/>
  <c r="H65" i="25"/>
  <c r="G66" i="25"/>
  <c r="G66" i="16"/>
  <c r="H65" i="16"/>
  <c r="H64" i="10"/>
  <c r="G65" i="10"/>
  <c r="H65" i="4"/>
  <c r="G66" i="4"/>
  <c r="G67" i="60" l="1"/>
  <c r="H66" i="60"/>
  <c r="G67" i="62"/>
  <c r="H66" i="62"/>
  <c r="G67" i="61"/>
  <c r="H66" i="61"/>
  <c r="H67" i="59"/>
  <c r="G68" i="59"/>
  <c r="G71" i="69"/>
  <c r="H70" i="69"/>
  <c r="G71" i="68"/>
  <c r="H70" i="68"/>
  <c r="G71" i="67"/>
  <c r="H70" i="67"/>
  <c r="H70" i="66"/>
  <c r="G71" i="66"/>
  <c r="G71" i="65"/>
  <c r="H70" i="65"/>
  <c r="G72" i="64"/>
  <c r="H71" i="64"/>
  <c r="H69" i="63"/>
  <c r="G70" i="63"/>
  <c r="G71" i="58"/>
  <c r="H70" i="58"/>
  <c r="G72" i="57"/>
  <c r="H71" i="57"/>
  <c r="G74" i="56"/>
  <c r="H73" i="56"/>
  <c r="G24" i="54"/>
  <c r="H23" i="54"/>
  <c r="H69" i="55"/>
  <c r="G70" i="55"/>
  <c r="G71" i="53"/>
  <c r="H70" i="53"/>
  <c r="G57" i="2"/>
  <c r="H56" i="2"/>
  <c r="H67" i="28"/>
  <c r="G68" i="28"/>
  <c r="H65" i="8"/>
  <c r="G66" i="8"/>
  <c r="G58" i="3"/>
  <c r="H57" i="3"/>
  <c r="H66" i="25"/>
  <c r="G67" i="25"/>
  <c r="H66" i="16"/>
  <c r="G67" i="16"/>
  <c r="G66" i="10"/>
  <c r="H65" i="10"/>
  <c r="H66" i="4"/>
  <c r="G67" i="4"/>
  <c r="G68" i="60" l="1"/>
  <c r="H67" i="60"/>
  <c r="G68" i="62"/>
  <c r="H67" i="62"/>
  <c r="G68" i="61"/>
  <c r="H67" i="61"/>
  <c r="G69" i="59"/>
  <c r="H68" i="59"/>
  <c r="G72" i="69"/>
  <c r="H71" i="69"/>
  <c r="H71" i="68"/>
  <c r="G72" i="68"/>
  <c r="G72" i="67"/>
  <c r="H71" i="67"/>
  <c r="G72" i="66"/>
  <c r="H71" i="66"/>
  <c r="G72" i="65"/>
  <c r="H71" i="65"/>
  <c r="G73" i="64"/>
  <c r="H72" i="64"/>
  <c r="H70" i="63"/>
  <c r="G71" i="63"/>
  <c r="H71" i="58"/>
  <c r="G72" i="58"/>
  <c r="G73" i="57"/>
  <c r="H72" i="57"/>
  <c r="H74" i="56"/>
  <c r="G75" i="56"/>
  <c r="H24" i="54"/>
  <c r="G25" i="54"/>
  <c r="G71" i="55"/>
  <c r="H70" i="55"/>
  <c r="H71" i="53"/>
  <c r="G72" i="53"/>
  <c r="H57" i="2"/>
  <c r="G58" i="2"/>
  <c r="G69" i="28"/>
  <c r="H68" i="28"/>
  <c r="H66" i="8"/>
  <c r="G67" i="8"/>
  <c r="G59" i="3"/>
  <c r="H58" i="3"/>
  <c r="H67" i="25"/>
  <c r="G68" i="25"/>
  <c r="H67" i="16"/>
  <c r="G68" i="16"/>
  <c r="H66" i="10"/>
  <c r="G67" i="10"/>
  <c r="H67" i="4"/>
  <c r="G68" i="4"/>
  <c r="G69" i="60" l="1"/>
  <c r="H68" i="60"/>
  <c r="G69" i="62"/>
  <c r="H68" i="62"/>
  <c r="G69" i="61"/>
  <c r="H68" i="61"/>
  <c r="H69" i="59"/>
  <c r="G70" i="59"/>
  <c r="H72" i="69"/>
  <c r="G73" i="69"/>
  <c r="G73" i="68"/>
  <c r="H72" i="68"/>
  <c r="G73" i="67"/>
  <c r="H72" i="67"/>
  <c r="G73" i="66"/>
  <c r="H72" i="66"/>
  <c r="G73" i="65"/>
  <c r="H72" i="65"/>
  <c r="G74" i="64"/>
  <c r="H73" i="64"/>
  <c r="H71" i="63"/>
  <c r="G72" i="63"/>
  <c r="G73" i="58"/>
  <c r="H72" i="58"/>
  <c r="H73" i="57"/>
  <c r="G74" i="57"/>
  <c r="G76" i="56"/>
  <c r="H75" i="56"/>
  <c r="H25" i="54"/>
  <c r="G26" i="54"/>
  <c r="G72" i="55"/>
  <c r="H71" i="55"/>
  <c r="G73" i="53"/>
  <c r="H72" i="53"/>
  <c r="G59" i="2"/>
  <c r="H58" i="2"/>
  <c r="H69" i="28"/>
  <c r="G70" i="28"/>
  <c r="G68" i="8"/>
  <c r="H67" i="8"/>
  <c r="H59" i="3"/>
  <c r="G60" i="3"/>
  <c r="H68" i="25"/>
  <c r="G69" i="25"/>
  <c r="G69" i="16"/>
  <c r="H68" i="16"/>
  <c r="H67" i="10"/>
  <c r="G68" i="10"/>
  <c r="G69" i="4"/>
  <c r="H68" i="4"/>
  <c r="H69" i="60" l="1"/>
  <c r="G70" i="60"/>
  <c r="G70" i="62"/>
  <c r="H69" i="62"/>
  <c r="H69" i="61"/>
  <c r="G70" i="61"/>
  <c r="G71" i="59"/>
  <c r="H70" i="59"/>
  <c r="H73" i="69"/>
  <c r="G74" i="69"/>
  <c r="G74" i="68"/>
  <c r="H73" i="68"/>
  <c r="G74" i="67"/>
  <c r="H73" i="67"/>
  <c r="G74" i="66"/>
  <c r="H73" i="66"/>
  <c r="G74" i="65"/>
  <c r="H73" i="65"/>
  <c r="H74" i="64"/>
  <c r="G75" i="64"/>
  <c r="H72" i="63"/>
  <c r="G73" i="63"/>
  <c r="H73" i="58"/>
  <c r="G74" i="58"/>
  <c r="H74" i="57"/>
  <c r="G75" i="57"/>
  <c r="G77" i="56"/>
  <c r="H76" i="56"/>
  <c r="H26" i="54"/>
  <c r="G27" i="54"/>
  <c r="H72" i="55"/>
  <c r="G73" i="55"/>
  <c r="G74" i="53"/>
  <c r="H73" i="53"/>
  <c r="G60" i="2"/>
  <c r="H59" i="2"/>
  <c r="H70" i="28"/>
  <c r="G71" i="28"/>
  <c r="H68" i="8"/>
  <c r="G69" i="8"/>
  <c r="H60" i="3"/>
  <c r="G61" i="3"/>
  <c r="H69" i="25"/>
  <c r="G70" i="25"/>
  <c r="H69" i="16"/>
  <c r="G70" i="16"/>
  <c r="G69" i="10"/>
  <c r="H68" i="10"/>
  <c r="H69" i="4"/>
  <c r="G70" i="4"/>
  <c r="G71" i="60" l="1"/>
  <c r="H70" i="60"/>
  <c r="H70" i="62"/>
  <c r="G71" i="62"/>
  <c r="G71" i="61"/>
  <c r="H70" i="61"/>
  <c r="G72" i="59"/>
  <c r="H71" i="59"/>
  <c r="H74" i="69"/>
  <c r="G75" i="69"/>
  <c r="H74" i="68"/>
  <c r="G75" i="68"/>
  <c r="H74" i="67"/>
  <c r="G75" i="67"/>
  <c r="H74" i="66"/>
  <c r="G75" i="66"/>
  <c r="H74" i="65"/>
  <c r="G75" i="65"/>
  <c r="H75" i="64"/>
  <c r="G76" i="64"/>
  <c r="G74" i="63"/>
  <c r="H73" i="63"/>
  <c r="H74" i="58"/>
  <c r="G75" i="58"/>
  <c r="G76" i="57"/>
  <c r="H75" i="57"/>
  <c r="H77" i="56"/>
  <c r="G78" i="56"/>
  <c r="H27" i="54"/>
  <c r="G28" i="54"/>
  <c r="G74" i="55"/>
  <c r="H73" i="55"/>
  <c r="H74" i="53"/>
  <c r="G75" i="53"/>
  <c r="G61" i="2"/>
  <c r="H60" i="2"/>
  <c r="G72" i="28"/>
  <c r="H71" i="28"/>
  <c r="G70" i="8"/>
  <c r="H69" i="8"/>
  <c r="H61" i="3"/>
  <c r="G62" i="3"/>
  <c r="G71" i="25"/>
  <c r="H70" i="25"/>
  <c r="H70" i="16"/>
  <c r="G71" i="16"/>
  <c r="H69" i="10"/>
  <c r="G70" i="10"/>
  <c r="H70" i="4"/>
  <c r="G71" i="4"/>
  <c r="G72" i="60" l="1"/>
  <c r="H71" i="60"/>
  <c r="G72" i="62"/>
  <c r="H71" i="62"/>
  <c r="G72" i="61"/>
  <c r="H71" i="61"/>
  <c r="G73" i="59"/>
  <c r="H72" i="59"/>
  <c r="H75" i="69"/>
  <c r="G76" i="69"/>
  <c r="H75" i="68"/>
  <c r="G76" i="68"/>
  <c r="G76" i="67"/>
  <c r="H75" i="67"/>
  <c r="H75" i="66"/>
  <c r="G76" i="66"/>
  <c r="H75" i="65"/>
  <c r="G76" i="65"/>
  <c r="G77" i="64"/>
  <c r="H76" i="64"/>
  <c r="H74" i="63"/>
  <c r="G75" i="63"/>
  <c r="H75" i="58"/>
  <c r="G76" i="58"/>
  <c r="G77" i="57"/>
  <c r="H76" i="57"/>
  <c r="G79" i="56"/>
  <c r="H78" i="56"/>
  <c r="H28" i="54"/>
  <c r="G29" i="54"/>
  <c r="H74" i="55"/>
  <c r="G75" i="55"/>
  <c r="H75" i="53"/>
  <c r="G76" i="53"/>
  <c r="G62" i="2"/>
  <c r="H61" i="2"/>
  <c r="H72" i="28"/>
  <c r="G73" i="28"/>
  <c r="G71" i="8"/>
  <c r="H70" i="8"/>
  <c r="G63" i="3"/>
  <c r="H62" i="3"/>
  <c r="H71" i="25"/>
  <c r="G72" i="25"/>
  <c r="G72" i="16"/>
  <c r="H71" i="16"/>
  <c r="H70" i="10"/>
  <c r="G71" i="10"/>
  <c r="G72" i="4"/>
  <c r="H71" i="4"/>
  <c r="G73" i="60" l="1"/>
  <c r="H72" i="60"/>
  <c r="H72" i="62"/>
  <c r="G73" i="62"/>
  <c r="G73" i="61"/>
  <c r="H72" i="61"/>
  <c r="G74" i="59"/>
  <c r="H73" i="59"/>
  <c r="G77" i="69"/>
  <c r="H76" i="69"/>
  <c r="G77" i="68"/>
  <c r="H76" i="68"/>
  <c r="G77" i="67"/>
  <c r="H76" i="67"/>
  <c r="G77" i="66"/>
  <c r="H76" i="66"/>
  <c r="G77" i="65"/>
  <c r="H76" i="65"/>
  <c r="G78" i="64"/>
  <c r="H77" i="64"/>
  <c r="G76" i="63"/>
  <c r="H75" i="63"/>
  <c r="G77" i="58"/>
  <c r="H76" i="58"/>
  <c r="G78" i="57"/>
  <c r="H77" i="57"/>
  <c r="G80" i="56"/>
  <c r="H79" i="56"/>
  <c r="G30" i="54"/>
  <c r="H29" i="54"/>
  <c r="G76" i="55"/>
  <c r="H75" i="55"/>
  <c r="G77" i="53"/>
  <c r="H76" i="53"/>
  <c r="G63" i="2"/>
  <c r="H62" i="2"/>
  <c r="H73" i="28"/>
  <c r="G74" i="28"/>
  <c r="G72" i="8"/>
  <c r="H71" i="8"/>
  <c r="G64" i="3"/>
  <c r="H63" i="3"/>
  <c r="H72" i="25"/>
  <c r="G73" i="25"/>
  <c r="H72" i="16"/>
  <c r="G73" i="16"/>
  <c r="G72" i="10"/>
  <c r="H71" i="10"/>
  <c r="H72" i="4"/>
  <c r="G73" i="4"/>
  <c r="G74" i="60" l="1"/>
  <c r="H73" i="60"/>
  <c r="H73" i="62"/>
  <c r="G74" i="62"/>
  <c r="G74" i="61"/>
  <c r="H73" i="61"/>
  <c r="H74" i="59"/>
  <c r="G75" i="59"/>
  <c r="G78" i="69"/>
  <c r="H77" i="69"/>
  <c r="G78" i="68"/>
  <c r="H77" i="68"/>
  <c r="G78" i="67"/>
  <c r="H77" i="67"/>
  <c r="G78" i="66"/>
  <c r="H77" i="66"/>
  <c r="G78" i="65"/>
  <c r="H77" i="65"/>
  <c r="H78" i="64"/>
  <c r="G79" i="64"/>
  <c r="G77" i="63"/>
  <c r="H76" i="63"/>
  <c r="G78" i="58"/>
  <c r="H77" i="58"/>
  <c r="H78" i="57"/>
  <c r="G79" i="57"/>
  <c r="H80" i="56"/>
  <c r="G81" i="56"/>
  <c r="H30" i="54"/>
  <c r="G31" i="54"/>
  <c r="H76" i="55"/>
  <c r="G77" i="55"/>
  <c r="H77" i="53"/>
  <c r="G78" i="53"/>
  <c r="G64" i="2"/>
  <c r="H63" i="2"/>
  <c r="G75" i="28"/>
  <c r="H74" i="28"/>
  <c r="G73" i="8"/>
  <c r="H72" i="8"/>
  <c r="H64" i="3"/>
  <c r="G65" i="3"/>
  <c r="H73" i="25"/>
  <c r="G74" i="25"/>
  <c r="H73" i="16"/>
  <c r="G74" i="16"/>
  <c r="H72" i="10"/>
  <c r="G73" i="10"/>
  <c r="H73" i="4"/>
  <c r="G74" i="4"/>
  <c r="H74" i="60" l="1"/>
  <c r="G75" i="60"/>
  <c r="G75" i="62"/>
  <c r="H74" i="62"/>
  <c r="H74" i="61"/>
  <c r="G75" i="61"/>
  <c r="H75" i="59"/>
  <c r="G76" i="59"/>
  <c r="G79" i="69"/>
  <c r="H78" i="69"/>
  <c r="G79" i="68"/>
  <c r="H78" i="68"/>
  <c r="G79" i="67"/>
  <c r="H78" i="67"/>
  <c r="G79" i="66"/>
  <c r="H78" i="66"/>
  <c r="G79" i="65"/>
  <c r="H78" i="65"/>
  <c r="G80" i="64"/>
  <c r="H79" i="64"/>
  <c r="G78" i="63"/>
  <c r="H77" i="63"/>
  <c r="G79" i="58"/>
  <c r="H78" i="58"/>
  <c r="G80" i="57"/>
  <c r="H79" i="57"/>
  <c r="G82" i="56"/>
  <c r="H81" i="56"/>
  <c r="H31" i="54"/>
  <c r="G32" i="54"/>
  <c r="G78" i="55"/>
  <c r="H77" i="55"/>
  <c r="G79" i="53"/>
  <c r="H78" i="53"/>
  <c r="H64" i="2"/>
  <c r="G65" i="2"/>
  <c r="H75" i="28"/>
  <c r="G76" i="28"/>
  <c r="H73" i="8"/>
  <c r="G74" i="8"/>
  <c r="G66" i="3"/>
  <c r="H65" i="3"/>
  <c r="H74" i="25"/>
  <c r="G75" i="25"/>
  <c r="G75" i="16"/>
  <c r="H74" i="16"/>
  <c r="H73" i="10"/>
  <c r="G74" i="10"/>
  <c r="H74" i="4"/>
  <c r="G75" i="4"/>
  <c r="G76" i="60" l="1"/>
  <c r="H75" i="60"/>
  <c r="H75" i="62"/>
  <c r="G76" i="62"/>
  <c r="H75" i="61"/>
  <c r="G76" i="61"/>
  <c r="G77" i="59"/>
  <c r="H76" i="59"/>
  <c r="G80" i="69"/>
  <c r="H79" i="69"/>
  <c r="G80" i="68"/>
  <c r="H79" i="68"/>
  <c r="G80" i="67"/>
  <c r="H79" i="67"/>
  <c r="G80" i="66"/>
  <c r="H79" i="66"/>
  <c r="G80" i="65"/>
  <c r="H79" i="65"/>
  <c r="H80" i="64"/>
  <c r="G81" i="64"/>
  <c r="G79" i="63"/>
  <c r="H78" i="63"/>
  <c r="H79" i="58"/>
  <c r="G80" i="58"/>
  <c r="H80" i="57"/>
  <c r="G81" i="57"/>
  <c r="G83" i="56"/>
  <c r="H82" i="56"/>
  <c r="H32" i="54"/>
  <c r="G33" i="54"/>
  <c r="G79" i="55"/>
  <c r="H78" i="55"/>
  <c r="G80" i="53"/>
  <c r="H79" i="53"/>
  <c r="G66" i="2"/>
  <c r="H65" i="2"/>
  <c r="H76" i="28"/>
  <c r="G77" i="28"/>
  <c r="G75" i="8"/>
  <c r="H74" i="8"/>
  <c r="G67" i="3"/>
  <c r="H66" i="3"/>
  <c r="H75" i="25"/>
  <c r="G76" i="25"/>
  <c r="H75" i="16"/>
  <c r="G76" i="16"/>
  <c r="G75" i="10"/>
  <c r="H74" i="10"/>
  <c r="H75" i="4"/>
  <c r="G76" i="4"/>
  <c r="G77" i="60" l="1"/>
  <c r="H76" i="60"/>
  <c r="G77" i="62"/>
  <c r="H76" i="62"/>
  <c r="H76" i="61"/>
  <c r="G77" i="61"/>
  <c r="G78" i="59"/>
  <c r="H77" i="59"/>
  <c r="H80" i="69"/>
  <c r="G81" i="69"/>
  <c r="H80" i="68"/>
  <c r="G81" i="68"/>
  <c r="H80" i="67"/>
  <c r="G81" i="67"/>
  <c r="H80" i="66"/>
  <c r="G81" i="66"/>
  <c r="H80" i="65"/>
  <c r="G81" i="65"/>
  <c r="G82" i="64"/>
  <c r="H81" i="64"/>
  <c r="G80" i="63"/>
  <c r="H79" i="63"/>
  <c r="H80" i="58"/>
  <c r="G81" i="58"/>
  <c r="G82" i="57"/>
  <c r="H81" i="57"/>
  <c r="G84" i="56"/>
  <c r="H83" i="56"/>
  <c r="G34" i="54"/>
  <c r="H33" i="54"/>
  <c r="G80" i="55"/>
  <c r="H79" i="55"/>
  <c r="H80" i="53"/>
  <c r="G81" i="53"/>
  <c r="G67" i="2"/>
  <c r="H66" i="2"/>
  <c r="G78" i="28"/>
  <c r="H77" i="28"/>
  <c r="G76" i="8"/>
  <c r="H75" i="8"/>
  <c r="H67" i="3"/>
  <c r="G68" i="3"/>
  <c r="G77" i="25"/>
  <c r="H76" i="25"/>
  <c r="H76" i="16"/>
  <c r="G77" i="16"/>
  <c r="H75" i="10"/>
  <c r="G76" i="10"/>
  <c r="H76" i="4"/>
  <c r="G77" i="4"/>
  <c r="G78" i="60" l="1"/>
  <c r="H77" i="60"/>
  <c r="H77" i="62"/>
  <c r="G78" i="62"/>
  <c r="H77" i="61"/>
  <c r="G78" i="61"/>
  <c r="H78" i="59"/>
  <c r="G79" i="59"/>
  <c r="H81" i="69"/>
  <c r="G82" i="69"/>
  <c r="G82" i="68"/>
  <c r="H81" i="68"/>
  <c r="G82" i="67"/>
  <c r="H81" i="67"/>
  <c r="G82" i="66"/>
  <c r="H81" i="66"/>
  <c r="H81" i="65"/>
  <c r="G82" i="65"/>
  <c r="G83" i="64"/>
  <c r="H82" i="64"/>
  <c r="H80" i="63"/>
  <c r="G81" i="63"/>
  <c r="G82" i="58"/>
  <c r="H81" i="58"/>
  <c r="G83" i="57"/>
  <c r="H82" i="57"/>
  <c r="G85" i="56"/>
  <c r="H84" i="56"/>
  <c r="H34" i="54"/>
  <c r="G35" i="54"/>
  <c r="H80" i="55"/>
  <c r="G81" i="55"/>
  <c r="G82" i="53"/>
  <c r="H81" i="53"/>
  <c r="H67" i="2"/>
  <c r="G68" i="2"/>
  <c r="H78" i="28"/>
  <c r="G79" i="28"/>
  <c r="G77" i="8"/>
  <c r="H76" i="8"/>
  <c r="G69" i="3"/>
  <c r="H68" i="3"/>
  <c r="H77" i="25"/>
  <c r="G78" i="25"/>
  <c r="G78" i="16"/>
  <c r="H77" i="16"/>
  <c r="H76" i="10"/>
  <c r="G77" i="10"/>
  <c r="G78" i="4"/>
  <c r="H77" i="4"/>
  <c r="G79" i="60" l="1"/>
  <c r="H78" i="60"/>
  <c r="H78" i="62"/>
  <c r="G79" i="62"/>
  <c r="G79" i="61"/>
  <c r="H78" i="61"/>
  <c r="G80" i="59"/>
  <c r="H79" i="59"/>
  <c r="G83" i="69"/>
  <c r="H82" i="69"/>
  <c r="H82" i="68"/>
  <c r="G83" i="68"/>
  <c r="G83" i="67"/>
  <c r="H82" i="67"/>
  <c r="G83" i="66"/>
  <c r="H82" i="66"/>
  <c r="G83" i="65"/>
  <c r="H82" i="65"/>
  <c r="G84" i="64"/>
  <c r="H83" i="64"/>
  <c r="G82" i="63"/>
  <c r="H81" i="63"/>
  <c r="H82" i="58"/>
  <c r="G83" i="58"/>
  <c r="G84" i="57"/>
  <c r="H83" i="57"/>
  <c r="H85" i="56"/>
  <c r="G86" i="56"/>
  <c r="H35" i="54"/>
  <c r="G36" i="54"/>
  <c r="H81" i="55"/>
  <c r="G82" i="55"/>
  <c r="H82" i="53"/>
  <c r="G83" i="53"/>
  <c r="G69" i="2"/>
  <c r="H68" i="2"/>
  <c r="H79" i="28"/>
  <c r="G80" i="28"/>
  <c r="G78" i="8"/>
  <c r="H77" i="8"/>
  <c r="G70" i="3"/>
  <c r="H69" i="3"/>
  <c r="H78" i="25"/>
  <c r="G79" i="25"/>
  <c r="H78" i="16"/>
  <c r="G79" i="16"/>
  <c r="G78" i="10"/>
  <c r="H77" i="10"/>
  <c r="H78" i="4"/>
  <c r="G79" i="4"/>
  <c r="G80" i="60" l="1"/>
  <c r="H79" i="60"/>
  <c r="H79" i="62"/>
  <c r="G80" i="62"/>
  <c r="G80" i="61"/>
  <c r="H79" i="61"/>
  <c r="H80" i="59"/>
  <c r="G81" i="59"/>
  <c r="H83" i="69"/>
  <c r="G84" i="69"/>
  <c r="G84" i="68"/>
  <c r="H83" i="68"/>
  <c r="G84" i="67"/>
  <c r="H83" i="67"/>
  <c r="G84" i="66"/>
  <c r="H83" i="66"/>
  <c r="G84" i="65"/>
  <c r="H83" i="65"/>
  <c r="G85" i="64"/>
  <c r="H84" i="64"/>
  <c r="H82" i="63"/>
  <c r="G83" i="63"/>
  <c r="G84" i="58"/>
  <c r="H83" i="58"/>
  <c r="G85" i="57"/>
  <c r="H84" i="57"/>
  <c r="G87" i="56"/>
  <c r="H86" i="56"/>
  <c r="H36" i="54"/>
  <c r="G37" i="54"/>
  <c r="G83" i="55"/>
  <c r="H82" i="55"/>
  <c r="G84" i="53"/>
  <c r="H83" i="53"/>
  <c r="G70" i="2"/>
  <c r="H69" i="2"/>
  <c r="G81" i="28"/>
  <c r="H80" i="28"/>
  <c r="G79" i="8"/>
  <c r="H78" i="8"/>
  <c r="G71" i="3"/>
  <c r="H70" i="3"/>
  <c r="H79" i="25"/>
  <c r="G80" i="25"/>
  <c r="H79" i="16"/>
  <c r="G80" i="16"/>
  <c r="H78" i="10"/>
  <c r="G79" i="10"/>
  <c r="H79" i="4"/>
  <c r="G80" i="4"/>
  <c r="H80" i="60" l="1"/>
  <c r="G81" i="60"/>
  <c r="G81" i="62"/>
  <c r="H80" i="62"/>
  <c r="H80" i="61"/>
  <c r="G81" i="61"/>
  <c r="G82" i="59"/>
  <c r="H81" i="59"/>
  <c r="H84" i="69"/>
  <c r="G85" i="69"/>
  <c r="G85" i="68"/>
  <c r="H84" i="68"/>
  <c r="G85" i="67"/>
  <c r="H84" i="67"/>
  <c r="G85" i="66"/>
  <c r="H84" i="66"/>
  <c r="G85" i="65"/>
  <c r="H84" i="65"/>
  <c r="H85" i="64"/>
  <c r="G86" i="64"/>
  <c r="G84" i="63"/>
  <c r="H83" i="63"/>
  <c r="H84" i="58"/>
  <c r="G85" i="58"/>
  <c r="H85" i="57"/>
  <c r="G86" i="57"/>
  <c r="G88" i="56"/>
  <c r="H87" i="56"/>
  <c r="H37" i="54"/>
  <c r="G38" i="54"/>
  <c r="H83" i="55"/>
  <c r="G84" i="55"/>
  <c r="G85" i="53"/>
  <c r="H84" i="53"/>
  <c r="H70" i="2"/>
  <c r="G71" i="2"/>
  <c r="H81" i="28"/>
  <c r="G82" i="28"/>
  <c r="G80" i="8"/>
  <c r="H79" i="8"/>
  <c r="G72" i="3"/>
  <c r="H71" i="3"/>
  <c r="H80" i="25"/>
  <c r="G81" i="25"/>
  <c r="G81" i="16"/>
  <c r="H80" i="16"/>
  <c r="H79" i="10"/>
  <c r="G80" i="10"/>
  <c r="G81" i="4"/>
  <c r="H80" i="4"/>
  <c r="G82" i="60" l="1"/>
  <c r="H81" i="60"/>
  <c r="G82" i="62"/>
  <c r="H81" i="62"/>
  <c r="G82" i="61"/>
  <c r="H81" i="61"/>
  <c r="G83" i="59"/>
  <c r="H82" i="59"/>
  <c r="H85" i="69"/>
  <c r="G86" i="69"/>
  <c r="H85" i="68"/>
  <c r="G86" i="68"/>
  <c r="H85" i="67"/>
  <c r="G86" i="67"/>
  <c r="H85" i="66"/>
  <c r="G86" i="66"/>
  <c r="H85" i="65"/>
  <c r="G86" i="65"/>
  <c r="H86" i="64"/>
  <c r="G87" i="64"/>
  <c r="G85" i="63"/>
  <c r="H84" i="63"/>
  <c r="H85" i="58"/>
  <c r="G86" i="58"/>
  <c r="H86" i="57"/>
  <c r="G87" i="57"/>
  <c r="H88" i="56"/>
  <c r="G89" i="56"/>
  <c r="H38" i="54"/>
  <c r="G39" i="54"/>
  <c r="G85" i="55"/>
  <c r="H84" i="55"/>
  <c r="H85" i="53"/>
  <c r="G86" i="53"/>
  <c r="H71" i="2"/>
  <c r="G72" i="2"/>
  <c r="H82" i="28"/>
  <c r="G83" i="28"/>
  <c r="G81" i="8"/>
  <c r="H80" i="8"/>
  <c r="G73" i="3"/>
  <c r="H72" i="3"/>
  <c r="H81" i="25"/>
  <c r="G82" i="25"/>
  <c r="H81" i="16"/>
  <c r="G82" i="16"/>
  <c r="G81" i="10"/>
  <c r="H80" i="10"/>
  <c r="H81" i="4"/>
  <c r="G82" i="4"/>
  <c r="G83" i="60" l="1"/>
  <c r="H82" i="60"/>
  <c r="H82" i="62"/>
  <c r="G83" i="62"/>
  <c r="G83" i="61"/>
  <c r="H82" i="61"/>
  <c r="G84" i="59"/>
  <c r="H83" i="59"/>
  <c r="H86" i="69"/>
  <c r="G87" i="69"/>
  <c r="G87" i="68"/>
  <c r="H86" i="68"/>
  <c r="G87" i="67"/>
  <c r="H86" i="67"/>
  <c r="H86" i="66"/>
  <c r="G87" i="66"/>
  <c r="G87" i="65"/>
  <c r="H86" i="65"/>
  <c r="G88" i="64"/>
  <c r="H87" i="64"/>
  <c r="H85" i="63"/>
  <c r="G86" i="63"/>
  <c r="H86" i="58"/>
  <c r="G87" i="58"/>
  <c r="G88" i="57"/>
  <c r="H87" i="57"/>
  <c r="G90" i="56"/>
  <c r="H89" i="56"/>
  <c r="G40" i="54"/>
  <c r="H39" i="54"/>
  <c r="H85" i="55"/>
  <c r="G86" i="55"/>
  <c r="G87" i="53"/>
  <c r="H86" i="53"/>
  <c r="H72" i="2"/>
  <c r="G73" i="2"/>
  <c r="G84" i="28"/>
  <c r="H83" i="28"/>
  <c r="H81" i="8"/>
  <c r="G82" i="8"/>
  <c r="G74" i="3"/>
  <c r="H73" i="3"/>
  <c r="H82" i="25"/>
  <c r="G83" i="25"/>
  <c r="H82" i="16"/>
  <c r="G83" i="16"/>
  <c r="H81" i="10"/>
  <c r="G82" i="10"/>
  <c r="H82" i="4"/>
  <c r="G83" i="4"/>
  <c r="H83" i="60" l="1"/>
  <c r="G84" i="60"/>
  <c r="H83" i="62"/>
  <c r="G84" i="62"/>
  <c r="H83" i="61"/>
  <c r="G84" i="61"/>
  <c r="G85" i="59"/>
  <c r="H84" i="59"/>
  <c r="G88" i="69"/>
  <c r="H87" i="69"/>
  <c r="G88" i="68"/>
  <c r="H87" i="68"/>
  <c r="G88" i="67"/>
  <c r="H87" i="67"/>
  <c r="H87" i="66"/>
  <c r="G88" i="66"/>
  <c r="G88" i="65"/>
  <c r="H87" i="65"/>
  <c r="G89" i="64"/>
  <c r="H88" i="64"/>
  <c r="G87" i="63"/>
  <c r="H86" i="63"/>
  <c r="G88" i="58"/>
  <c r="H87" i="58"/>
  <c r="G89" i="57"/>
  <c r="H88" i="57"/>
  <c r="G91" i="56"/>
  <c r="H90" i="56"/>
  <c r="H40" i="54"/>
  <c r="G41" i="54"/>
  <c r="G87" i="55"/>
  <c r="H86" i="55"/>
  <c r="G88" i="53"/>
  <c r="H87" i="53"/>
  <c r="H73" i="2"/>
  <c r="G74" i="2"/>
  <c r="H84" i="28"/>
  <c r="G85" i="28"/>
  <c r="G83" i="8"/>
  <c r="H82" i="8"/>
  <c r="G75" i="3"/>
  <c r="H74" i="3"/>
  <c r="H83" i="25"/>
  <c r="G84" i="25"/>
  <c r="G84" i="16"/>
  <c r="H83" i="16"/>
  <c r="H82" i="10"/>
  <c r="G83" i="10"/>
  <c r="H83" i="4"/>
  <c r="G84" i="4"/>
  <c r="H84" i="60" l="1"/>
  <c r="G85" i="60"/>
  <c r="G85" i="62"/>
  <c r="H84" i="62"/>
  <c r="G85" i="61"/>
  <c r="H84" i="61"/>
  <c r="H85" i="59"/>
  <c r="G86" i="59"/>
  <c r="G89" i="69"/>
  <c r="H88" i="69"/>
  <c r="G89" i="68"/>
  <c r="H88" i="68"/>
  <c r="G89" i="67"/>
  <c r="H88" i="67"/>
  <c r="G89" i="66"/>
  <c r="H88" i="66"/>
  <c r="G89" i="65"/>
  <c r="H88" i="65"/>
  <c r="H89" i="64"/>
  <c r="G90" i="64"/>
  <c r="G88" i="63"/>
  <c r="H87" i="63"/>
  <c r="G89" i="58"/>
  <c r="H88" i="58"/>
  <c r="H89" i="57"/>
  <c r="G90" i="57"/>
  <c r="H91" i="56"/>
  <c r="G92" i="56"/>
  <c r="H41" i="54"/>
  <c r="G42" i="54"/>
  <c r="G88" i="55"/>
  <c r="H87" i="55"/>
  <c r="H88" i="53"/>
  <c r="G89" i="53"/>
  <c r="H74" i="2"/>
  <c r="G75" i="2"/>
  <c r="H85" i="28"/>
  <c r="G86" i="28"/>
  <c r="G84" i="8"/>
  <c r="H83" i="8"/>
  <c r="H75" i="3"/>
  <c r="G76" i="3"/>
  <c r="H84" i="25"/>
  <c r="G85" i="25"/>
  <c r="H84" i="16"/>
  <c r="G85" i="16"/>
  <c r="G84" i="10"/>
  <c r="H83" i="10"/>
  <c r="H84" i="4"/>
  <c r="G85" i="4"/>
  <c r="H85" i="60" l="1"/>
  <c r="G86" i="60"/>
  <c r="G86" i="62"/>
  <c r="H85" i="62"/>
  <c r="H85" i="61"/>
  <c r="G86" i="61"/>
  <c r="H86" i="59"/>
  <c r="G87" i="59"/>
  <c r="G90" i="69"/>
  <c r="H89" i="69"/>
  <c r="G90" i="68"/>
  <c r="H89" i="68"/>
  <c r="G90" i="67"/>
  <c r="H89" i="67"/>
  <c r="G90" i="66"/>
  <c r="H89" i="66"/>
  <c r="G90" i="65"/>
  <c r="H89" i="65"/>
  <c r="G91" i="64"/>
  <c r="H90" i="64"/>
  <c r="G89" i="63"/>
  <c r="H88" i="63"/>
  <c r="G90" i="58"/>
  <c r="H89" i="58"/>
  <c r="G91" i="57"/>
  <c r="H90" i="57"/>
  <c r="G93" i="56"/>
  <c r="H92" i="56"/>
  <c r="H42" i="54"/>
  <c r="G43" i="54"/>
  <c r="G89" i="55"/>
  <c r="H88" i="55"/>
  <c r="G90" i="53"/>
  <c r="H89" i="53"/>
  <c r="G76" i="2"/>
  <c r="H75" i="2"/>
  <c r="G87" i="28"/>
  <c r="H86" i="28"/>
  <c r="G85" i="8"/>
  <c r="H84" i="8"/>
  <c r="G77" i="3"/>
  <c r="H76" i="3"/>
  <c r="H85" i="25"/>
  <c r="G86" i="25"/>
  <c r="H85" i="16"/>
  <c r="G86" i="16"/>
  <c r="H84" i="10"/>
  <c r="G85" i="10"/>
  <c r="H85" i="4"/>
  <c r="G86" i="4"/>
  <c r="H86" i="60" l="1"/>
  <c r="G87" i="60"/>
  <c r="H86" i="62"/>
  <c r="G87" i="62"/>
  <c r="H86" i="61"/>
  <c r="G87" i="61"/>
  <c r="G88" i="59"/>
  <c r="H87" i="59"/>
  <c r="G91" i="69"/>
  <c r="H90" i="69"/>
  <c r="G91" i="68"/>
  <c r="H90" i="68"/>
  <c r="G91" i="67"/>
  <c r="H90" i="67"/>
  <c r="G91" i="66"/>
  <c r="H90" i="66"/>
  <c r="G91" i="65"/>
  <c r="H90" i="65"/>
  <c r="H91" i="64"/>
  <c r="G92" i="64"/>
  <c r="G90" i="63"/>
  <c r="H89" i="63"/>
  <c r="H90" i="58"/>
  <c r="G91" i="58"/>
  <c r="H91" i="57"/>
  <c r="G92" i="57"/>
  <c r="G94" i="56"/>
  <c r="H93" i="56"/>
  <c r="H43" i="54"/>
  <c r="G44" i="54"/>
  <c r="G90" i="55"/>
  <c r="H89" i="55"/>
  <c r="G91" i="53"/>
  <c r="H90" i="53"/>
  <c r="G77" i="2"/>
  <c r="H76" i="2"/>
  <c r="H87" i="28"/>
  <c r="G88" i="28"/>
  <c r="H85" i="8"/>
  <c r="G86" i="8"/>
  <c r="G78" i="3"/>
  <c r="H77" i="3"/>
  <c r="H86" i="25"/>
  <c r="G87" i="25"/>
  <c r="G87" i="16"/>
  <c r="H86" i="16"/>
  <c r="H85" i="10"/>
  <c r="G86" i="10"/>
  <c r="G87" i="4"/>
  <c r="H86" i="4"/>
  <c r="H87" i="60" l="1"/>
  <c r="G88" i="60"/>
  <c r="H87" i="62"/>
  <c r="G88" i="62"/>
  <c r="H87" i="61"/>
  <c r="G88" i="61"/>
  <c r="G89" i="59"/>
  <c r="H88" i="59"/>
  <c r="H91" i="69"/>
  <c r="G92" i="69"/>
  <c r="H91" i="68"/>
  <c r="G92" i="68"/>
  <c r="H91" i="67"/>
  <c r="G92" i="67"/>
  <c r="H91" i="66"/>
  <c r="G92" i="66"/>
  <c r="H91" i="65"/>
  <c r="G92" i="65"/>
  <c r="G93" i="64"/>
  <c r="H92" i="64"/>
  <c r="G91" i="63"/>
  <c r="H90" i="63"/>
  <c r="H91" i="58"/>
  <c r="G92" i="58"/>
  <c r="G93" i="57"/>
  <c r="H92" i="57"/>
  <c r="G95" i="56"/>
  <c r="H94" i="56"/>
  <c r="H44" i="54"/>
  <c r="G45" i="54"/>
  <c r="G91" i="55"/>
  <c r="H90" i="55"/>
  <c r="H91" i="53"/>
  <c r="G92" i="53"/>
  <c r="G78" i="2"/>
  <c r="H77" i="2"/>
  <c r="H88" i="28"/>
  <c r="G89" i="28"/>
  <c r="G87" i="8"/>
  <c r="H86" i="8"/>
  <c r="H78" i="3"/>
  <c r="G79" i="3"/>
  <c r="H87" i="25"/>
  <c r="G88" i="25"/>
  <c r="H87" i="16"/>
  <c r="G88" i="16"/>
  <c r="G87" i="10"/>
  <c r="H86" i="10"/>
  <c r="H87" i="4"/>
  <c r="G88" i="4"/>
  <c r="H88" i="60" l="1"/>
  <c r="G89" i="60"/>
  <c r="H88" i="62"/>
  <c r="G89" i="62"/>
  <c r="G89" i="61"/>
  <c r="H88" i="61"/>
  <c r="H89" i="59"/>
  <c r="G90" i="59"/>
  <c r="H92" i="69"/>
  <c r="G93" i="69"/>
  <c r="G93" i="68"/>
  <c r="H92" i="68"/>
  <c r="G93" i="67"/>
  <c r="H92" i="67"/>
  <c r="G93" i="66"/>
  <c r="H92" i="66"/>
  <c r="H92" i="65"/>
  <c r="G93" i="65"/>
  <c r="G94" i="64"/>
  <c r="H93" i="64"/>
  <c r="H91" i="63"/>
  <c r="G92" i="63"/>
  <c r="G93" i="58"/>
  <c r="H92" i="58"/>
  <c r="G94" i="57"/>
  <c r="H93" i="57"/>
  <c r="G96" i="56"/>
  <c r="H95" i="56"/>
  <c r="G46" i="54"/>
  <c r="H45" i="54"/>
  <c r="H91" i="55"/>
  <c r="G92" i="55"/>
  <c r="G93" i="53"/>
  <c r="H92" i="53"/>
  <c r="G79" i="2"/>
  <c r="H78" i="2"/>
  <c r="G90" i="28"/>
  <c r="H89" i="28"/>
  <c r="H87" i="8"/>
  <c r="G88" i="8"/>
  <c r="G80" i="3"/>
  <c r="H79" i="3"/>
  <c r="H88" i="25"/>
  <c r="G89" i="25"/>
  <c r="H88" i="16"/>
  <c r="G89" i="16"/>
  <c r="H87" i="10"/>
  <c r="G88" i="10"/>
  <c r="H88" i="4"/>
  <c r="G89" i="4"/>
  <c r="G90" i="60" l="1"/>
  <c r="H89" i="60"/>
  <c r="H89" i="62"/>
  <c r="G90" i="62"/>
  <c r="G90" i="61"/>
  <c r="H89" i="61"/>
  <c r="G91" i="59"/>
  <c r="H90" i="59"/>
  <c r="G94" i="69"/>
  <c r="H93" i="69"/>
  <c r="H93" i="68"/>
  <c r="G94" i="68"/>
  <c r="G94" i="67"/>
  <c r="H93" i="67"/>
  <c r="G94" i="66"/>
  <c r="H93" i="66"/>
  <c r="G94" i="65"/>
  <c r="H93" i="65"/>
  <c r="G95" i="64"/>
  <c r="H94" i="64"/>
  <c r="G93" i="63"/>
  <c r="H92" i="63"/>
  <c r="H93" i="58"/>
  <c r="G94" i="58"/>
  <c r="G95" i="57"/>
  <c r="H94" i="57"/>
  <c r="H96" i="56"/>
  <c r="G97" i="56"/>
  <c r="H46" i="54"/>
  <c r="G47" i="54"/>
  <c r="G93" i="55"/>
  <c r="H92" i="55"/>
  <c r="G94" i="53"/>
  <c r="H93" i="53"/>
  <c r="H79" i="2"/>
  <c r="G80" i="2"/>
  <c r="H90" i="28"/>
  <c r="G91" i="28"/>
  <c r="G89" i="8"/>
  <c r="H88" i="8"/>
  <c r="G81" i="3"/>
  <c r="H80" i="3"/>
  <c r="H89" i="25"/>
  <c r="G90" i="25"/>
  <c r="G90" i="16"/>
  <c r="H89" i="16"/>
  <c r="H88" i="10"/>
  <c r="G89" i="10"/>
  <c r="G90" i="4"/>
  <c r="H89" i="4"/>
  <c r="G91" i="60" l="1"/>
  <c r="H90" i="60"/>
  <c r="H90" i="62"/>
  <c r="G91" i="62"/>
  <c r="G91" i="61"/>
  <c r="H90" i="61"/>
  <c r="H91" i="59"/>
  <c r="G92" i="59"/>
  <c r="H94" i="69"/>
  <c r="G95" i="69"/>
  <c r="G95" i="68"/>
  <c r="H94" i="68"/>
  <c r="G95" i="67"/>
  <c r="H94" i="67"/>
  <c r="G95" i="66"/>
  <c r="H94" i="66"/>
  <c r="G95" i="65"/>
  <c r="H94" i="65"/>
  <c r="G96" i="64"/>
  <c r="H95" i="64"/>
  <c r="G94" i="63"/>
  <c r="H93" i="63"/>
  <c r="G95" i="58"/>
  <c r="H94" i="58"/>
  <c r="G96" i="57"/>
  <c r="H95" i="57"/>
  <c r="G98" i="56"/>
  <c r="H97" i="56"/>
  <c r="H47" i="54"/>
  <c r="G48" i="54"/>
  <c r="G94" i="55"/>
  <c r="H93" i="55"/>
  <c r="G95" i="53"/>
  <c r="H94" i="53"/>
  <c r="H80" i="2"/>
  <c r="G81" i="2"/>
  <c r="H91" i="28"/>
  <c r="G92" i="28"/>
  <c r="H89" i="8"/>
  <c r="G90" i="8"/>
  <c r="H81" i="3"/>
  <c r="G82" i="3"/>
  <c r="H90" i="25"/>
  <c r="G91" i="25"/>
  <c r="H90" i="16"/>
  <c r="G91" i="16"/>
  <c r="G90" i="10"/>
  <c r="H89" i="10"/>
  <c r="H90" i="4"/>
  <c r="G91" i="4"/>
  <c r="H91" i="60" l="1"/>
  <c r="G92" i="60"/>
  <c r="G92" i="62"/>
  <c r="H91" i="62"/>
  <c r="H91" i="61"/>
  <c r="G92" i="61"/>
  <c r="H92" i="59"/>
  <c r="G93" i="59"/>
  <c r="H95" i="69"/>
  <c r="G96" i="69"/>
  <c r="G96" i="68"/>
  <c r="H95" i="68"/>
  <c r="G96" i="67"/>
  <c r="H95" i="67"/>
  <c r="G96" i="66"/>
  <c r="H95" i="66"/>
  <c r="G96" i="65"/>
  <c r="H95" i="65"/>
  <c r="H96" i="64"/>
  <c r="G97" i="64"/>
  <c r="G95" i="63"/>
  <c r="H94" i="63"/>
  <c r="H95" i="58"/>
  <c r="G96" i="58"/>
  <c r="H96" i="57"/>
  <c r="G97" i="57"/>
  <c r="G99" i="56"/>
  <c r="H98" i="56"/>
  <c r="H48" i="54"/>
  <c r="G49" i="54"/>
  <c r="H94" i="55"/>
  <c r="G95" i="55"/>
  <c r="G96" i="53"/>
  <c r="H95" i="53"/>
  <c r="H81" i="2"/>
  <c r="G82" i="2"/>
  <c r="G93" i="28"/>
  <c r="H92" i="28"/>
  <c r="G91" i="8"/>
  <c r="H90" i="8"/>
  <c r="H82" i="3"/>
  <c r="G83" i="3"/>
  <c r="H91" i="25"/>
  <c r="G92" i="25"/>
  <c r="H91" i="16"/>
  <c r="G92" i="16"/>
  <c r="H90" i="10"/>
  <c r="G91" i="10"/>
  <c r="H91" i="4"/>
  <c r="G92" i="4"/>
  <c r="G93" i="60" l="1"/>
  <c r="H92" i="60"/>
  <c r="G93" i="62"/>
  <c r="H92" i="62"/>
  <c r="G93" i="61"/>
  <c r="H92" i="61"/>
  <c r="G94" i="59"/>
  <c r="H93" i="59"/>
  <c r="H96" i="69"/>
  <c r="G97" i="69"/>
  <c r="H96" i="68"/>
  <c r="G97" i="68"/>
  <c r="H96" i="67"/>
  <c r="G97" i="67"/>
  <c r="H96" i="66"/>
  <c r="G97" i="66"/>
  <c r="H96" i="65"/>
  <c r="G97" i="65"/>
  <c r="G98" i="64"/>
  <c r="H97" i="64"/>
  <c r="G96" i="63"/>
  <c r="H95" i="63"/>
  <c r="H96" i="58"/>
  <c r="G97" i="58"/>
  <c r="H97" i="57"/>
  <c r="G98" i="57"/>
  <c r="H99" i="56"/>
  <c r="G100" i="56"/>
  <c r="H49" i="54"/>
  <c r="G50" i="54"/>
  <c r="G96" i="55"/>
  <c r="H95" i="55"/>
  <c r="H96" i="53"/>
  <c r="G97" i="53"/>
  <c r="H82" i="2"/>
  <c r="G83" i="2"/>
  <c r="H93" i="28"/>
  <c r="G94" i="28"/>
  <c r="H91" i="8"/>
  <c r="G92" i="8"/>
  <c r="G84" i="3"/>
  <c r="H83" i="3"/>
  <c r="H92" i="25"/>
  <c r="G93" i="25"/>
  <c r="G93" i="16"/>
  <c r="H92" i="16"/>
  <c r="H91" i="10"/>
  <c r="G92" i="10"/>
  <c r="G93" i="4"/>
  <c r="H92" i="4"/>
  <c r="G94" i="60" l="1"/>
  <c r="H93" i="60"/>
  <c r="H93" i="62"/>
  <c r="G94" i="62"/>
  <c r="G94" i="61"/>
  <c r="H93" i="61"/>
  <c r="G95" i="59"/>
  <c r="H94" i="59"/>
  <c r="H97" i="69"/>
  <c r="G98" i="69"/>
  <c r="G98" i="68"/>
  <c r="H97" i="68"/>
  <c r="G98" i="67"/>
  <c r="H97" i="67"/>
  <c r="H97" i="66"/>
  <c r="G98" i="66"/>
  <c r="H97" i="65"/>
  <c r="G98" i="65"/>
  <c r="G99" i="64"/>
  <c r="H98" i="64"/>
  <c r="H96" i="63"/>
  <c r="G97" i="63"/>
  <c r="H97" i="58"/>
  <c r="G98" i="58"/>
  <c r="G99" i="57"/>
  <c r="H98" i="57"/>
  <c r="G101" i="56"/>
  <c r="H100" i="56"/>
  <c r="G51" i="54"/>
  <c r="H50" i="54"/>
  <c r="H96" i="55"/>
  <c r="G97" i="55"/>
  <c r="G98" i="53"/>
  <c r="H97" i="53"/>
  <c r="G84" i="2"/>
  <c r="H83" i="2"/>
  <c r="H94" i="28"/>
  <c r="G95" i="28"/>
  <c r="G93" i="8"/>
  <c r="H92" i="8"/>
  <c r="G85" i="3"/>
  <c r="H84" i="3"/>
  <c r="H93" i="25"/>
  <c r="G94" i="25"/>
  <c r="H93" i="16"/>
  <c r="G94" i="16"/>
  <c r="G93" i="10"/>
  <c r="H92" i="10"/>
  <c r="H93" i="4"/>
  <c r="G94" i="4"/>
  <c r="H94" i="60" l="1"/>
  <c r="G95" i="60"/>
  <c r="H94" i="62"/>
  <c r="G95" i="62"/>
  <c r="G95" i="61"/>
  <c r="H94" i="61"/>
  <c r="G96" i="59"/>
  <c r="H95" i="59"/>
  <c r="G99" i="69"/>
  <c r="H98" i="69"/>
  <c r="G99" i="68"/>
  <c r="H98" i="68"/>
  <c r="G99" i="67"/>
  <c r="H98" i="67"/>
  <c r="G99" i="66"/>
  <c r="H98" i="66"/>
  <c r="G99" i="65"/>
  <c r="H98" i="65"/>
  <c r="G100" i="64"/>
  <c r="H99" i="64"/>
  <c r="G98" i="63"/>
  <c r="H97" i="63"/>
  <c r="G99" i="58"/>
  <c r="H98" i="58"/>
  <c r="G100" i="57"/>
  <c r="H99" i="57"/>
  <c r="G102" i="56"/>
  <c r="H101" i="56"/>
  <c r="H51" i="54"/>
  <c r="G52" i="54"/>
  <c r="G98" i="55"/>
  <c r="H97" i="55"/>
  <c r="G99" i="53"/>
  <c r="H98" i="53"/>
  <c r="H84" i="2"/>
  <c r="G85" i="2"/>
  <c r="G96" i="28"/>
  <c r="H95" i="28"/>
  <c r="H93" i="8"/>
  <c r="G94" i="8"/>
  <c r="H85" i="3"/>
  <c r="G86" i="3"/>
  <c r="H94" i="25"/>
  <c r="G95" i="25"/>
  <c r="H94" i="16"/>
  <c r="G95" i="16"/>
  <c r="H93" i="10"/>
  <c r="G94" i="10"/>
  <c r="H94" i="4"/>
  <c r="G95" i="4"/>
  <c r="G96" i="60" l="1"/>
  <c r="H95" i="60"/>
  <c r="G96" i="62"/>
  <c r="H95" i="62"/>
  <c r="G96" i="61"/>
  <c r="H95" i="61"/>
  <c r="H96" i="59"/>
  <c r="G97" i="59"/>
  <c r="G100" i="69"/>
  <c r="H99" i="69"/>
  <c r="G100" i="68"/>
  <c r="H99" i="68"/>
  <c r="G100" i="67"/>
  <c r="H99" i="67"/>
  <c r="H99" i="66"/>
  <c r="G100" i="66"/>
  <c r="G100" i="65"/>
  <c r="H99" i="65"/>
  <c r="H100" i="64"/>
  <c r="G101" i="64"/>
  <c r="G99" i="63"/>
  <c r="H98" i="63"/>
  <c r="G100" i="58"/>
  <c r="H99" i="58"/>
  <c r="H100" i="57"/>
  <c r="G101" i="57"/>
  <c r="H102" i="56"/>
  <c r="G103" i="56"/>
  <c r="H52" i="54"/>
  <c r="G53" i="54"/>
  <c r="G99" i="55"/>
  <c r="H98" i="55"/>
  <c r="H99" i="53"/>
  <c r="G100" i="53"/>
  <c r="H85" i="2"/>
  <c r="G86" i="2"/>
  <c r="H96" i="28"/>
  <c r="G97" i="28"/>
  <c r="H94" i="8"/>
  <c r="G95" i="8"/>
  <c r="H86" i="3"/>
  <c r="G87" i="3"/>
  <c r="G96" i="25"/>
  <c r="H95" i="25"/>
  <c r="G96" i="16"/>
  <c r="H95" i="16"/>
  <c r="H94" i="10"/>
  <c r="G95" i="10"/>
  <c r="G96" i="4"/>
  <c r="H95" i="4"/>
  <c r="H96" i="60" l="1"/>
  <c r="G97" i="60"/>
  <c r="G97" i="62"/>
  <c r="H96" i="62"/>
  <c r="H96" i="61"/>
  <c r="G97" i="61"/>
  <c r="H97" i="59"/>
  <c r="G98" i="59"/>
  <c r="G101" i="69"/>
  <c r="H100" i="69"/>
  <c r="G101" i="68"/>
  <c r="H100" i="68"/>
  <c r="G101" i="67"/>
  <c r="H100" i="67"/>
  <c r="G101" i="66"/>
  <c r="H100" i="66"/>
  <c r="G101" i="65"/>
  <c r="H100" i="65"/>
  <c r="G102" i="64"/>
  <c r="H101" i="64"/>
  <c r="H99" i="63"/>
  <c r="G100" i="63"/>
  <c r="G101" i="58"/>
  <c r="H100" i="58"/>
  <c r="G102" i="57"/>
  <c r="H101" i="57"/>
  <c r="H103" i="56"/>
  <c r="G104" i="56"/>
  <c r="G54" i="54"/>
  <c r="H53" i="54"/>
  <c r="G100" i="55"/>
  <c r="H99" i="55"/>
  <c r="G101" i="53"/>
  <c r="H100" i="53"/>
  <c r="G87" i="2"/>
  <c r="H86" i="2"/>
  <c r="H97" i="28"/>
  <c r="G98" i="28"/>
  <c r="G96" i="8"/>
  <c r="H95" i="8"/>
  <c r="H87" i="3"/>
  <c r="G88" i="3"/>
  <c r="H96" i="25"/>
  <c r="G97" i="25"/>
  <c r="H96" i="16"/>
  <c r="G97" i="16"/>
  <c r="G96" i="10"/>
  <c r="H95" i="10"/>
  <c r="H96" i="4"/>
  <c r="G97" i="4"/>
  <c r="G98" i="60" l="1"/>
  <c r="H97" i="60"/>
  <c r="G98" i="62"/>
  <c r="H97" i="62"/>
  <c r="H97" i="61"/>
  <c r="G98" i="61"/>
  <c r="G99" i="59"/>
  <c r="H98" i="59"/>
  <c r="G102" i="69"/>
  <c r="H101" i="69"/>
  <c r="G102" i="68"/>
  <c r="H101" i="68"/>
  <c r="G102" i="67"/>
  <c r="H101" i="67"/>
  <c r="G102" i="66"/>
  <c r="H101" i="66"/>
  <c r="G102" i="65"/>
  <c r="H101" i="65"/>
  <c r="H102" i="64"/>
  <c r="G103" i="64"/>
  <c r="G101" i="63"/>
  <c r="H100" i="63"/>
  <c r="H101" i="58"/>
  <c r="G102" i="58"/>
  <c r="H102" i="57"/>
  <c r="G103" i="57"/>
  <c r="G105" i="56"/>
  <c r="H104" i="56"/>
  <c r="G55" i="54"/>
  <c r="H54" i="54"/>
  <c r="G101" i="55"/>
  <c r="H100" i="55"/>
  <c r="G102" i="53"/>
  <c r="H101" i="53"/>
  <c r="H87" i="2"/>
  <c r="G88" i="2"/>
  <c r="G99" i="28"/>
  <c r="H98" i="28"/>
  <c r="H96" i="8"/>
  <c r="G97" i="8"/>
  <c r="G89" i="3"/>
  <c r="H88" i="3"/>
  <c r="H97" i="25"/>
  <c r="G98" i="25"/>
  <c r="H97" i="16"/>
  <c r="G98" i="16"/>
  <c r="H96" i="10"/>
  <c r="G97" i="10"/>
  <c r="H97" i="4"/>
  <c r="G98" i="4"/>
  <c r="G99" i="60" l="1"/>
  <c r="H98" i="60"/>
  <c r="H98" i="62"/>
  <c r="G99" i="62"/>
  <c r="G99" i="61"/>
  <c r="H98" i="61"/>
  <c r="G100" i="59"/>
  <c r="H99" i="59"/>
  <c r="H102" i="69"/>
  <c r="G103" i="69"/>
  <c r="H102" i="68"/>
  <c r="G103" i="68"/>
  <c r="H102" i="67"/>
  <c r="G103" i="67"/>
  <c r="H102" i="66"/>
  <c r="G103" i="66"/>
  <c r="H102" i="65"/>
  <c r="G103" i="65"/>
  <c r="G104" i="64"/>
  <c r="H103" i="64"/>
  <c r="G102" i="63"/>
  <c r="H101" i="63"/>
  <c r="H102" i="58"/>
  <c r="G103" i="58"/>
  <c r="G104" i="57"/>
  <c r="H103" i="57"/>
  <c r="G106" i="56"/>
  <c r="H105" i="56"/>
  <c r="H55" i="54"/>
  <c r="G56" i="54"/>
  <c r="G102" i="55"/>
  <c r="H101" i="55"/>
  <c r="H102" i="53"/>
  <c r="G103" i="53"/>
  <c r="H88" i="2"/>
  <c r="G89" i="2"/>
  <c r="H99" i="28"/>
  <c r="G100" i="28"/>
  <c r="H97" i="8"/>
  <c r="G98" i="8"/>
  <c r="H89" i="3"/>
  <c r="G90" i="3"/>
  <c r="G99" i="25"/>
  <c r="H98" i="25"/>
  <c r="G99" i="16"/>
  <c r="H98" i="16"/>
  <c r="H97" i="10"/>
  <c r="G98" i="10"/>
  <c r="G99" i="4"/>
  <c r="H98" i="4"/>
  <c r="G100" i="60" l="1"/>
  <c r="H99" i="60"/>
  <c r="G100" i="62"/>
  <c r="H99" i="62"/>
  <c r="G100" i="61"/>
  <c r="H99" i="61"/>
  <c r="H100" i="59"/>
  <c r="G101" i="59"/>
  <c r="G104" i="69"/>
  <c r="H103" i="69"/>
  <c r="G104" i="68"/>
  <c r="H103" i="68"/>
  <c r="G104" i="67"/>
  <c r="H103" i="67"/>
  <c r="G104" i="66"/>
  <c r="H103" i="66"/>
  <c r="G104" i="65"/>
  <c r="H103" i="65"/>
  <c r="G105" i="64"/>
  <c r="H104" i="64"/>
  <c r="H102" i="63"/>
  <c r="G103" i="63"/>
  <c r="H103" i="58"/>
  <c r="G104" i="58"/>
  <c r="G105" i="57"/>
  <c r="H104" i="57"/>
  <c r="G107" i="56"/>
  <c r="H106" i="56"/>
  <c r="H56" i="54"/>
  <c r="G57" i="54"/>
  <c r="H102" i="55"/>
  <c r="G103" i="55"/>
  <c r="G104" i="53"/>
  <c r="H103" i="53"/>
  <c r="G90" i="2"/>
  <c r="H89" i="2"/>
  <c r="H100" i="28"/>
  <c r="G101" i="28"/>
  <c r="G99" i="8"/>
  <c r="H98" i="8"/>
  <c r="G91" i="3"/>
  <c r="H90" i="3"/>
  <c r="H99" i="25"/>
  <c r="G100" i="25"/>
  <c r="H99" i="16"/>
  <c r="G100" i="16"/>
  <c r="G99" i="10"/>
  <c r="H98" i="10"/>
  <c r="H99" i="4"/>
  <c r="G100" i="4"/>
  <c r="G101" i="60" l="1"/>
  <c r="H100" i="60"/>
  <c r="G101" i="62"/>
  <c r="H100" i="62"/>
  <c r="G101" i="61"/>
  <c r="H100" i="61"/>
  <c r="G102" i="59"/>
  <c r="H101" i="59"/>
  <c r="G105" i="69"/>
  <c r="H104" i="69"/>
  <c r="H104" i="68"/>
  <c r="G105" i="68"/>
  <c r="G105" i="67"/>
  <c r="H104" i="67"/>
  <c r="G105" i="66"/>
  <c r="H104" i="66"/>
  <c r="G105" i="65"/>
  <c r="H104" i="65"/>
  <c r="G106" i="64"/>
  <c r="H105" i="64"/>
  <c r="G104" i="63"/>
  <c r="H103" i="63"/>
  <c r="H104" i="58"/>
  <c r="G105" i="58"/>
  <c r="G106" i="57"/>
  <c r="H105" i="57"/>
  <c r="H107" i="56"/>
  <c r="G108" i="56"/>
  <c r="G58" i="54"/>
  <c r="H57" i="54"/>
  <c r="G104" i="55"/>
  <c r="H103" i="55"/>
  <c r="H104" i="53"/>
  <c r="G105" i="53"/>
  <c r="H90" i="2"/>
  <c r="G91" i="2"/>
  <c r="G102" i="28"/>
  <c r="H101" i="28"/>
  <c r="H99" i="8"/>
  <c r="G100" i="8"/>
  <c r="G92" i="3"/>
  <c r="H91" i="3"/>
  <c r="H100" i="25"/>
  <c r="G101" i="25"/>
  <c r="H100" i="16"/>
  <c r="G101" i="16"/>
  <c r="H99" i="10"/>
  <c r="G100" i="10"/>
  <c r="H100" i="4"/>
  <c r="G101" i="4"/>
  <c r="G102" i="60" l="1"/>
  <c r="H101" i="60"/>
  <c r="H101" i="62"/>
  <c r="G102" i="62"/>
  <c r="G102" i="61"/>
  <c r="H101" i="61"/>
  <c r="H102" i="59"/>
  <c r="G103" i="59"/>
  <c r="H105" i="69"/>
  <c r="G106" i="69"/>
  <c r="G106" i="68"/>
  <c r="H105" i="68"/>
  <c r="G106" i="67"/>
  <c r="H105" i="67"/>
  <c r="G106" i="66"/>
  <c r="H105" i="66"/>
  <c r="G106" i="65"/>
  <c r="H105" i="65"/>
  <c r="G107" i="64"/>
  <c r="H106" i="64"/>
  <c r="G105" i="63"/>
  <c r="H104" i="63"/>
  <c r="G106" i="58"/>
  <c r="H105" i="58"/>
  <c r="G107" i="57"/>
  <c r="H106" i="57"/>
  <c r="G109" i="56"/>
  <c r="H108" i="56"/>
  <c r="G59" i="54"/>
  <c r="H58" i="54"/>
  <c r="G105" i="55"/>
  <c r="H104" i="55"/>
  <c r="G106" i="53"/>
  <c r="H105" i="53"/>
  <c r="G92" i="2"/>
  <c r="H91" i="2"/>
  <c r="H102" i="28"/>
  <c r="G103" i="28"/>
  <c r="G101" i="8"/>
  <c r="H100" i="8"/>
  <c r="G93" i="3"/>
  <c r="H92" i="3"/>
  <c r="G102" i="25"/>
  <c r="H101" i="25"/>
  <c r="G102" i="16"/>
  <c r="H101" i="16"/>
  <c r="H100" i="10"/>
  <c r="G101" i="10"/>
  <c r="G102" i="4"/>
  <c r="H101" i="4"/>
  <c r="G103" i="60" l="1"/>
  <c r="H102" i="60"/>
  <c r="G103" i="62"/>
  <c r="H102" i="62"/>
  <c r="H102" i="61"/>
  <c r="G103" i="61"/>
  <c r="H103" i="59"/>
  <c r="G104" i="59"/>
  <c r="H106" i="69"/>
  <c r="G107" i="69"/>
  <c r="G107" i="68"/>
  <c r="H106" i="68"/>
  <c r="G107" i="67"/>
  <c r="H106" i="67"/>
  <c r="G107" i="66"/>
  <c r="H106" i="66"/>
  <c r="G107" i="65"/>
  <c r="H106" i="65"/>
  <c r="H107" i="64"/>
  <c r="G108" i="64"/>
  <c r="G106" i="63"/>
  <c r="H105" i="63"/>
  <c r="H106" i="58"/>
  <c r="G107" i="58"/>
  <c r="H107" i="57"/>
  <c r="G108" i="57"/>
  <c r="G110" i="56"/>
  <c r="H109" i="56"/>
  <c r="H59" i="54"/>
  <c r="G60" i="54"/>
  <c r="H105" i="55"/>
  <c r="G106" i="55"/>
  <c r="G107" i="53"/>
  <c r="H106" i="53"/>
  <c r="G93" i="2"/>
  <c r="H92" i="2"/>
  <c r="H103" i="28"/>
  <c r="G104" i="28"/>
  <c r="H101" i="8"/>
  <c r="G102" i="8"/>
  <c r="G94" i="3"/>
  <c r="H93" i="3"/>
  <c r="H102" i="25"/>
  <c r="G103" i="25"/>
  <c r="H102" i="16"/>
  <c r="G103" i="16"/>
  <c r="G102" i="10"/>
  <c r="H101" i="10"/>
  <c r="H102" i="4"/>
  <c r="G103" i="4"/>
  <c r="G104" i="60" l="1"/>
  <c r="H103" i="60"/>
  <c r="H103" i="62"/>
  <c r="G104" i="62"/>
  <c r="G104" i="61"/>
  <c r="H103" i="61"/>
  <c r="G105" i="59"/>
  <c r="H104" i="59"/>
  <c r="H107" i="69"/>
  <c r="G108" i="69"/>
  <c r="H107" i="68"/>
  <c r="G108" i="68"/>
  <c r="H107" i="67"/>
  <c r="G108" i="67"/>
  <c r="H107" i="66"/>
  <c r="G108" i="66"/>
  <c r="H107" i="65"/>
  <c r="G108" i="65"/>
  <c r="G109" i="64"/>
  <c r="H108" i="64"/>
  <c r="G107" i="63"/>
  <c r="H106" i="63"/>
  <c r="H107" i="58"/>
  <c r="G108" i="58"/>
  <c r="G109" i="57"/>
  <c r="H108" i="57"/>
  <c r="H110" i="56"/>
  <c r="G111" i="56"/>
  <c r="G61" i="54"/>
  <c r="H60" i="54"/>
  <c r="G107" i="55"/>
  <c r="H106" i="55"/>
  <c r="H107" i="53"/>
  <c r="G108" i="53"/>
  <c r="H93" i="2"/>
  <c r="G94" i="2"/>
  <c r="G105" i="28"/>
  <c r="H104" i="28"/>
  <c r="G103" i="8"/>
  <c r="H102" i="8"/>
  <c r="G95" i="3"/>
  <c r="H94" i="3"/>
  <c r="H103" i="25"/>
  <c r="G104" i="25"/>
  <c r="H103" i="16"/>
  <c r="G104" i="16"/>
  <c r="H102" i="10"/>
  <c r="G103" i="10"/>
  <c r="H103" i="4"/>
  <c r="G104" i="4"/>
  <c r="G105" i="60" l="1"/>
  <c r="H104" i="60"/>
  <c r="G105" i="62"/>
  <c r="H104" i="62"/>
  <c r="G105" i="61"/>
  <c r="H104" i="61"/>
  <c r="G106" i="59"/>
  <c r="H105" i="59"/>
  <c r="H108" i="69"/>
  <c r="G109" i="69"/>
  <c r="H108" i="68"/>
  <c r="G109" i="68"/>
  <c r="G109" i="67"/>
  <c r="H108" i="67"/>
  <c r="H108" i="66"/>
  <c r="G109" i="66"/>
  <c r="H108" i="65"/>
  <c r="G109" i="65"/>
  <c r="G110" i="64"/>
  <c r="H109" i="64"/>
  <c r="H107" i="63"/>
  <c r="G108" i="63"/>
  <c r="H108" i="58"/>
  <c r="G109" i="58"/>
  <c r="G110" i="57"/>
  <c r="H109" i="57"/>
  <c r="G112" i="56"/>
  <c r="H111" i="56"/>
  <c r="G62" i="54"/>
  <c r="H61" i="54"/>
  <c r="H107" i="55"/>
  <c r="G108" i="55"/>
  <c r="G109" i="53"/>
  <c r="H108" i="53"/>
  <c r="H94" i="2"/>
  <c r="G95" i="2"/>
  <c r="H105" i="28"/>
  <c r="G106" i="28"/>
  <c r="G104" i="8"/>
  <c r="H103" i="8"/>
  <c r="H95" i="3"/>
  <c r="G96" i="3"/>
  <c r="G105" i="25"/>
  <c r="H104" i="25"/>
  <c r="G105" i="16"/>
  <c r="H104" i="16"/>
  <c r="H103" i="10"/>
  <c r="G104" i="10"/>
  <c r="G105" i="4"/>
  <c r="H104" i="4"/>
  <c r="H105" i="60" l="1"/>
  <c r="G106" i="60"/>
  <c r="H105" i="62"/>
  <c r="G106" i="62"/>
  <c r="G106" i="61"/>
  <c r="H105" i="61"/>
  <c r="G107" i="59"/>
  <c r="H106" i="59"/>
  <c r="G110" i="69"/>
  <c r="H109" i="69"/>
  <c r="G110" i="68"/>
  <c r="H109" i="68"/>
  <c r="G110" i="67"/>
  <c r="H109" i="67"/>
  <c r="G110" i="66"/>
  <c r="H109" i="66"/>
  <c r="G110" i="65"/>
  <c r="H109" i="65"/>
  <c r="G111" i="64"/>
  <c r="H110" i="64"/>
  <c r="G109" i="63"/>
  <c r="H108" i="63"/>
  <c r="G110" i="58"/>
  <c r="H109" i="58"/>
  <c r="G111" i="57"/>
  <c r="H110" i="57"/>
  <c r="G113" i="56"/>
  <c r="H112" i="56"/>
  <c r="G63" i="54"/>
  <c r="H62" i="54"/>
  <c r="G109" i="55"/>
  <c r="H108" i="55"/>
  <c r="G110" i="53"/>
  <c r="H109" i="53"/>
  <c r="G96" i="2"/>
  <c r="H95" i="2"/>
  <c r="H106" i="28"/>
  <c r="G107" i="28"/>
  <c r="G105" i="8"/>
  <c r="H104" i="8"/>
  <c r="G97" i="3"/>
  <c r="H96" i="3"/>
  <c r="H105" i="25"/>
  <c r="G106" i="25"/>
  <c r="H105" i="16"/>
  <c r="G106" i="16"/>
  <c r="G105" i="10"/>
  <c r="H104" i="10"/>
  <c r="H105" i="4"/>
  <c r="G106" i="4"/>
  <c r="G107" i="60" l="1"/>
  <c r="H106" i="60"/>
  <c r="G107" i="62"/>
  <c r="H106" i="62"/>
  <c r="G107" i="61"/>
  <c r="H106" i="61"/>
  <c r="H107" i="59"/>
  <c r="G108" i="59"/>
  <c r="G111" i="69"/>
  <c r="H110" i="69"/>
  <c r="G111" i="68"/>
  <c r="H110" i="68"/>
  <c r="G111" i="67"/>
  <c r="H110" i="67"/>
  <c r="H110" i="66"/>
  <c r="G111" i="66"/>
  <c r="G111" i="65"/>
  <c r="H110" i="65"/>
  <c r="H111" i="64"/>
  <c r="G112" i="64"/>
  <c r="G110" i="63"/>
  <c r="H109" i="63"/>
  <c r="G111" i="58"/>
  <c r="H110" i="58"/>
  <c r="H111" i="57"/>
  <c r="G112" i="57"/>
  <c r="H113" i="56"/>
  <c r="G114" i="56"/>
  <c r="H63" i="54"/>
  <c r="G64" i="54"/>
  <c r="G110" i="55"/>
  <c r="H109" i="55"/>
  <c r="H110" i="53"/>
  <c r="G111" i="53"/>
  <c r="H96" i="2"/>
  <c r="G97" i="2"/>
  <c r="G108" i="28"/>
  <c r="H107" i="28"/>
  <c r="G106" i="8"/>
  <c r="H105" i="8"/>
  <c r="H97" i="3"/>
  <c r="G98" i="3"/>
  <c r="H106" i="25"/>
  <c r="G107" i="25"/>
  <c r="H106" i="16"/>
  <c r="G107" i="16"/>
  <c r="H105" i="10"/>
  <c r="G106" i="10"/>
  <c r="H106" i="4"/>
  <c r="G107" i="4"/>
  <c r="H107" i="60" l="1"/>
  <c r="G108" i="60"/>
  <c r="G108" i="62"/>
  <c r="H107" i="62"/>
  <c r="H107" i="61"/>
  <c r="G108" i="61"/>
  <c r="H108" i="59"/>
  <c r="G109" i="59"/>
  <c r="G112" i="69"/>
  <c r="H111" i="69"/>
  <c r="G112" i="68"/>
  <c r="H111" i="68"/>
  <c r="G112" i="67"/>
  <c r="H111" i="67"/>
  <c r="G112" i="66"/>
  <c r="H111" i="66"/>
  <c r="G112" i="65"/>
  <c r="H111" i="65"/>
  <c r="G113" i="64"/>
  <c r="H112" i="64"/>
  <c r="G111" i="63"/>
  <c r="H110" i="63"/>
  <c r="G112" i="58"/>
  <c r="H111" i="58"/>
  <c r="G113" i="57"/>
  <c r="H112" i="57"/>
  <c r="G115" i="56"/>
  <c r="H114" i="56"/>
  <c r="G65" i="54"/>
  <c r="H64" i="54"/>
  <c r="G111" i="55"/>
  <c r="H110" i="55"/>
  <c r="G112" i="53"/>
  <c r="H111" i="53"/>
  <c r="H97" i="2"/>
  <c r="G98" i="2"/>
  <c r="H108" i="28"/>
  <c r="G109" i="28"/>
  <c r="G107" i="8"/>
  <c r="H106" i="8"/>
  <c r="H98" i="3"/>
  <c r="G99" i="3"/>
  <c r="G108" i="25"/>
  <c r="H107" i="25"/>
  <c r="G108" i="16"/>
  <c r="H107" i="16"/>
  <c r="H106" i="10"/>
  <c r="G107" i="10"/>
  <c r="G108" i="4"/>
  <c r="H107" i="4"/>
  <c r="H108" i="60" l="1"/>
  <c r="G109" i="60"/>
  <c r="H108" i="62"/>
  <c r="G109" i="62"/>
  <c r="H108" i="61"/>
  <c r="G109" i="61"/>
  <c r="H109" i="59"/>
  <c r="G110" i="59"/>
  <c r="G113" i="69"/>
  <c r="H112" i="69"/>
  <c r="G113" i="68"/>
  <c r="H112" i="68"/>
  <c r="G113" i="67"/>
  <c r="H112" i="67"/>
  <c r="G113" i="66"/>
  <c r="H112" i="66"/>
  <c r="G113" i="65"/>
  <c r="H112" i="65"/>
  <c r="H113" i="64"/>
  <c r="G114" i="64"/>
  <c r="G112" i="63"/>
  <c r="H111" i="63"/>
  <c r="G113" i="58"/>
  <c r="H112" i="58"/>
  <c r="H113" i="57"/>
  <c r="G114" i="57"/>
  <c r="G116" i="56"/>
  <c r="H115" i="56"/>
  <c r="G66" i="54"/>
  <c r="H65" i="54"/>
  <c r="G112" i="55"/>
  <c r="H111" i="55"/>
  <c r="G113" i="53"/>
  <c r="H112" i="53"/>
  <c r="G99" i="2"/>
  <c r="H98" i="2"/>
  <c r="H109" i="28"/>
  <c r="G110" i="28"/>
  <c r="G108" i="8"/>
  <c r="H107" i="8"/>
  <c r="H99" i="3"/>
  <c r="G100" i="3"/>
  <c r="H108" i="25"/>
  <c r="G109" i="25"/>
  <c r="H108" i="16"/>
  <c r="G109" i="16"/>
  <c r="G108" i="10"/>
  <c r="H107" i="10"/>
  <c r="H108" i="4"/>
  <c r="G109" i="4"/>
  <c r="G110" i="60" l="1"/>
  <c r="H109" i="60"/>
  <c r="G110" i="62"/>
  <c r="H109" i="62"/>
  <c r="G110" i="61"/>
  <c r="H109" i="61"/>
  <c r="G111" i="59"/>
  <c r="H110" i="59"/>
  <c r="H113" i="69"/>
  <c r="G114" i="69"/>
  <c r="H113" i="68"/>
  <c r="G114" i="68"/>
  <c r="H113" i="67"/>
  <c r="G114" i="67"/>
  <c r="H113" i="66"/>
  <c r="G114" i="66"/>
  <c r="H113" i="65"/>
  <c r="G114" i="65"/>
  <c r="G115" i="64"/>
  <c r="H114" i="64"/>
  <c r="G113" i="63"/>
  <c r="H112" i="63"/>
  <c r="H113" i="58"/>
  <c r="G114" i="58"/>
  <c r="G115" i="57"/>
  <c r="H114" i="57"/>
  <c r="G117" i="56"/>
  <c r="H116" i="56"/>
  <c r="G67" i="54"/>
  <c r="H66" i="54"/>
  <c r="G113" i="55"/>
  <c r="H112" i="55"/>
  <c r="H113" i="53"/>
  <c r="G114" i="53"/>
  <c r="H99" i="2"/>
  <c r="G100" i="2"/>
  <c r="G111" i="28"/>
  <c r="H110" i="28"/>
  <c r="G109" i="8"/>
  <c r="H108" i="8"/>
  <c r="H100" i="3"/>
  <c r="G101" i="3"/>
  <c r="H109" i="25"/>
  <c r="G110" i="25"/>
  <c r="H109" i="16"/>
  <c r="G110" i="16"/>
  <c r="H108" i="10"/>
  <c r="G109" i="10"/>
  <c r="H109" i="4"/>
  <c r="G110" i="4"/>
  <c r="G111" i="60" l="1"/>
  <c r="H110" i="60"/>
  <c r="H110" i="62"/>
  <c r="G111" i="62"/>
  <c r="G111" i="61"/>
  <c r="H110" i="61"/>
  <c r="H111" i="59"/>
  <c r="G112" i="59"/>
  <c r="G115" i="69"/>
  <c r="H114" i="69"/>
  <c r="G115" i="68"/>
  <c r="H114" i="68"/>
  <c r="G115" i="67"/>
  <c r="H114" i="67"/>
  <c r="G115" i="66"/>
  <c r="H114" i="66"/>
  <c r="G115" i="65"/>
  <c r="H114" i="65"/>
  <c r="G116" i="64"/>
  <c r="H115" i="64"/>
  <c r="H113" i="63"/>
  <c r="G114" i="63"/>
  <c r="G115" i="58"/>
  <c r="H114" i="58"/>
  <c r="G116" i="57"/>
  <c r="H115" i="57"/>
  <c r="G118" i="56"/>
  <c r="H117" i="56"/>
  <c r="G68" i="54"/>
  <c r="H67" i="54"/>
  <c r="H113" i="55"/>
  <c r="G114" i="55"/>
  <c r="G115" i="53"/>
  <c r="H114" i="53"/>
  <c r="H100" i="2"/>
  <c r="G101" i="2"/>
  <c r="H111" i="28"/>
  <c r="G112" i="28"/>
  <c r="H109" i="8"/>
  <c r="G110" i="8"/>
  <c r="G102" i="3"/>
  <c r="H101" i="3"/>
  <c r="G111" i="25"/>
  <c r="H110" i="25"/>
  <c r="G111" i="16"/>
  <c r="H110" i="16"/>
  <c r="H109" i="10"/>
  <c r="G110" i="10"/>
  <c r="G111" i="4"/>
  <c r="H110" i="4"/>
  <c r="G112" i="60" l="1"/>
  <c r="H111" i="60"/>
  <c r="H111" i="62"/>
  <c r="G112" i="62"/>
  <c r="G112" i="61"/>
  <c r="H111" i="61"/>
  <c r="G113" i="59"/>
  <c r="H112" i="59"/>
  <c r="G116" i="69"/>
  <c r="H115" i="69"/>
  <c r="H115" i="68"/>
  <c r="G116" i="68"/>
  <c r="G116" i="67"/>
  <c r="H115" i="67"/>
  <c r="G116" i="66"/>
  <c r="H115" i="66"/>
  <c r="G116" i="65"/>
  <c r="H115" i="65"/>
  <c r="G117" i="64"/>
  <c r="H116" i="64"/>
  <c r="G115" i="63"/>
  <c r="H114" i="63"/>
  <c r="H115" i="58"/>
  <c r="G116" i="58"/>
  <c r="G117" i="57"/>
  <c r="H116" i="57"/>
  <c r="H118" i="56"/>
  <c r="G119" i="56"/>
  <c r="H68" i="54"/>
  <c r="G69" i="54"/>
  <c r="H114" i="55"/>
  <c r="G115" i="55"/>
  <c r="H115" i="53"/>
  <c r="G116" i="53"/>
  <c r="G102" i="2"/>
  <c r="H101" i="2"/>
  <c r="H112" i="28"/>
  <c r="G113" i="28"/>
  <c r="H110" i="8"/>
  <c r="G111" i="8"/>
  <c r="H102" i="3"/>
  <c r="G103" i="3"/>
  <c r="H111" i="25"/>
  <c r="G112" i="25"/>
  <c r="H111" i="16"/>
  <c r="G112" i="16"/>
  <c r="G111" i="10"/>
  <c r="H110" i="10"/>
  <c r="H111" i="4"/>
  <c r="G112" i="4"/>
  <c r="G113" i="60" l="1"/>
  <c r="H112" i="60"/>
  <c r="H112" i="62"/>
  <c r="G113" i="62"/>
  <c r="G113" i="61"/>
  <c r="H112" i="61"/>
  <c r="H113" i="59"/>
  <c r="G114" i="59"/>
  <c r="H116" i="69"/>
  <c r="G117" i="69"/>
  <c r="G117" i="68"/>
  <c r="H116" i="68"/>
  <c r="G117" i="67"/>
  <c r="H116" i="67"/>
  <c r="G117" i="66"/>
  <c r="H116" i="66"/>
  <c r="G117" i="65"/>
  <c r="H116" i="65"/>
  <c r="G118" i="64"/>
  <c r="H117" i="64"/>
  <c r="G116" i="63"/>
  <c r="H115" i="63"/>
  <c r="G117" i="58"/>
  <c r="H116" i="58"/>
  <c r="G118" i="57"/>
  <c r="H117" i="57"/>
  <c r="G120" i="56"/>
  <c r="H119" i="56"/>
  <c r="H69" i="54"/>
  <c r="G70" i="54"/>
  <c r="G116" i="55"/>
  <c r="H115" i="55"/>
  <c r="G117" i="53"/>
  <c r="H116" i="53"/>
  <c r="H102" i="2"/>
  <c r="G103" i="2"/>
  <c r="G114" i="28"/>
  <c r="H113" i="28"/>
  <c r="H111" i="8"/>
  <c r="G112" i="8"/>
  <c r="H103" i="3"/>
  <c r="G104" i="3"/>
  <c r="H112" i="25"/>
  <c r="G113" i="25"/>
  <c r="H112" i="16"/>
  <c r="G113" i="16"/>
  <c r="H111" i="10"/>
  <c r="G112" i="10"/>
  <c r="H112" i="4"/>
  <c r="G113" i="4"/>
  <c r="H113" i="60" l="1"/>
  <c r="G114" i="60"/>
  <c r="G114" i="62"/>
  <c r="H113" i="62"/>
  <c r="H113" i="61"/>
  <c r="G114" i="61"/>
  <c r="G115" i="59"/>
  <c r="H114" i="59"/>
  <c r="H117" i="69"/>
  <c r="G118" i="69"/>
  <c r="G118" i="68"/>
  <c r="H117" i="68"/>
  <c r="G118" i="67"/>
  <c r="H117" i="67"/>
  <c r="G118" i="66"/>
  <c r="H117" i="66"/>
  <c r="G118" i="65"/>
  <c r="H117" i="65"/>
  <c r="H118" i="64"/>
  <c r="G119" i="64"/>
  <c r="G117" i="63"/>
  <c r="H116" i="63"/>
  <c r="H117" i="58"/>
  <c r="G118" i="58"/>
  <c r="H118" i="57"/>
  <c r="G119" i="57"/>
  <c r="G121" i="56"/>
  <c r="H120" i="56"/>
  <c r="H70" i="54"/>
  <c r="G71" i="54"/>
  <c r="H116" i="55"/>
  <c r="G117" i="55"/>
  <c r="G118" i="53"/>
  <c r="H117" i="53"/>
  <c r="H103" i="2"/>
  <c r="G104" i="2"/>
  <c r="H114" i="28"/>
  <c r="G115" i="28"/>
  <c r="H112" i="8"/>
  <c r="G113" i="8"/>
  <c r="H104" i="3"/>
  <c r="G105" i="3"/>
  <c r="G114" i="25"/>
  <c r="H113" i="25"/>
  <c r="G114" i="16"/>
  <c r="H113" i="16"/>
  <c r="H112" i="10"/>
  <c r="G113" i="10"/>
  <c r="G114" i="4"/>
  <c r="H113" i="4"/>
  <c r="H114" i="60" l="1"/>
  <c r="G115" i="60"/>
  <c r="G115" i="62"/>
  <c r="H114" i="62"/>
  <c r="G115" i="61"/>
  <c r="H114" i="61"/>
  <c r="G116" i="59"/>
  <c r="H115" i="59"/>
  <c r="H118" i="69"/>
  <c r="G119" i="69"/>
  <c r="H118" i="68"/>
  <c r="G119" i="68"/>
  <c r="H118" i="67"/>
  <c r="G119" i="67"/>
  <c r="H118" i="66"/>
  <c r="G119" i="66"/>
  <c r="H118" i="65"/>
  <c r="G119" i="65"/>
  <c r="G120" i="64"/>
  <c r="H119" i="64"/>
  <c r="G118" i="63"/>
  <c r="H117" i="63"/>
  <c r="H118" i="58"/>
  <c r="G119" i="58"/>
  <c r="G120" i="57"/>
  <c r="H119" i="57"/>
  <c r="H121" i="56"/>
  <c r="G122" i="56"/>
  <c r="G72" i="54"/>
  <c r="H71" i="54"/>
  <c r="G118" i="55"/>
  <c r="H117" i="55"/>
  <c r="H118" i="53"/>
  <c r="G119" i="53"/>
  <c r="G105" i="2"/>
  <c r="H104" i="2"/>
  <c r="H115" i="28"/>
  <c r="G116" i="28"/>
  <c r="G114" i="8"/>
  <c r="H113" i="8"/>
  <c r="G106" i="3"/>
  <c r="H105" i="3"/>
  <c r="H114" i="25"/>
  <c r="G115" i="25"/>
  <c r="H114" i="16"/>
  <c r="G115" i="16"/>
  <c r="G114" i="10"/>
  <c r="H113" i="10"/>
  <c r="H114" i="4"/>
  <c r="G115" i="4"/>
  <c r="G116" i="60" l="1"/>
  <c r="H115" i="60"/>
  <c r="G116" i="62"/>
  <c r="H115" i="62"/>
  <c r="G116" i="61"/>
  <c r="H115" i="61"/>
  <c r="G117" i="59"/>
  <c r="H116" i="59"/>
  <c r="H119" i="69"/>
  <c r="G120" i="69"/>
  <c r="G120" i="68"/>
  <c r="H119" i="68"/>
  <c r="G120" i="67"/>
  <c r="H119" i="67"/>
  <c r="H119" i="66"/>
  <c r="G120" i="66"/>
  <c r="G120" i="65"/>
  <c r="H119" i="65"/>
  <c r="G121" i="64"/>
  <c r="H120" i="64"/>
  <c r="H118" i="63"/>
  <c r="G119" i="63"/>
  <c r="H119" i="58"/>
  <c r="G120" i="58"/>
  <c r="G121" i="57"/>
  <c r="H120" i="57"/>
  <c r="G123" i="56"/>
  <c r="H122" i="56"/>
  <c r="H72" i="54"/>
  <c r="G73" i="54"/>
  <c r="H118" i="55"/>
  <c r="G119" i="55"/>
  <c r="G120" i="53"/>
  <c r="H119" i="53"/>
  <c r="H105" i="2"/>
  <c r="G106" i="2"/>
  <c r="G117" i="28"/>
  <c r="H116" i="28"/>
  <c r="G115" i="8"/>
  <c r="H114" i="8"/>
  <c r="G107" i="3"/>
  <c r="H106" i="3"/>
  <c r="H115" i="25"/>
  <c r="G116" i="25"/>
  <c r="H115" i="16"/>
  <c r="G116" i="16"/>
  <c r="H114" i="10"/>
  <c r="G115" i="10"/>
  <c r="H115" i="4"/>
  <c r="G116" i="4"/>
  <c r="H116" i="60" l="1"/>
  <c r="G117" i="60"/>
  <c r="H116" i="62"/>
  <c r="G117" i="62"/>
  <c r="G117" i="61"/>
  <c r="H116" i="61"/>
  <c r="G118" i="59"/>
  <c r="H117" i="59"/>
  <c r="H120" i="69"/>
  <c r="G121" i="69"/>
  <c r="G121" i="68"/>
  <c r="H120" i="68"/>
  <c r="G121" i="67"/>
  <c r="H120" i="67"/>
  <c r="G121" i="66"/>
  <c r="H120" i="66"/>
  <c r="G121" i="65"/>
  <c r="H120" i="65"/>
  <c r="G122" i="64"/>
  <c r="H121" i="64"/>
  <c r="H119" i="63"/>
  <c r="G120" i="63"/>
  <c r="G121" i="58"/>
  <c r="H120" i="58"/>
  <c r="G122" i="57"/>
  <c r="H121" i="57"/>
  <c r="G124" i="56"/>
  <c r="H123" i="56"/>
  <c r="G74" i="54"/>
  <c r="H73" i="54"/>
  <c r="H119" i="55"/>
  <c r="G120" i="55"/>
  <c r="G121" i="53"/>
  <c r="H120" i="53"/>
  <c r="H106" i="2"/>
  <c r="G107" i="2"/>
  <c r="H117" i="28"/>
  <c r="G118" i="28"/>
  <c r="G116" i="8"/>
  <c r="H115" i="8"/>
  <c r="H107" i="3"/>
  <c r="G108" i="3"/>
  <c r="G117" i="25"/>
  <c r="H116" i="25"/>
  <c r="G117" i="16"/>
  <c r="H116" i="16"/>
  <c r="H115" i="10"/>
  <c r="G116" i="10"/>
  <c r="G117" i="4"/>
  <c r="H116" i="4"/>
  <c r="G118" i="60" l="1"/>
  <c r="H117" i="60"/>
  <c r="G118" i="62"/>
  <c r="H117" i="62"/>
  <c r="G118" i="61"/>
  <c r="H117" i="61"/>
  <c r="H118" i="59"/>
  <c r="G119" i="59"/>
  <c r="G122" i="69"/>
  <c r="H121" i="69"/>
  <c r="G122" i="68"/>
  <c r="H121" i="68"/>
  <c r="G122" i="67"/>
  <c r="H121" i="67"/>
  <c r="H121" i="66"/>
  <c r="G122" i="66"/>
  <c r="G122" i="65"/>
  <c r="H121" i="65"/>
  <c r="H122" i="64"/>
  <c r="G123" i="64"/>
  <c r="G121" i="63"/>
  <c r="H120" i="63"/>
  <c r="G122" i="58"/>
  <c r="H121" i="58"/>
  <c r="H122" i="57"/>
  <c r="G123" i="57"/>
  <c r="H124" i="56"/>
  <c r="G125" i="56"/>
  <c r="H74" i="54"/>
  <c r="G75" i="54"/>
  <c r="G121" i="55"/>
  <c r="H120" i="55"/>
  <c r="H121" i="53"/>
  <c r="G122" i="53"/>
  <c r="G108" i="2"/>
  <c r="H107" i="2"/>
  <c r="H118" i="28"/>
  <c r="G119" i="28"/>
  <c r="G117" i="8"/>
  <c r="H116" i="8"/>
  <c r="H108" i="3"/>
  <c r="G109" i="3"/>
  <c r="H117" i="25"/>
  <c r="G118" i="25"/>
  <c r="H117" i="16"/>
  <c r="G118" i="16"/>
  <c r="G117" i="10"/>
  <c r="H116" i="10"/>
  <c r="H117" i="4"/>
  <c r="G118" i="4"/>
  <c r="H118" i="60" l="1"/>
  <c r="G119" i="60"/>
  <c r="G119" i="62"/>
  <c r="H118" i="62"/>
  <c r="H118" i="61"/>
  <c r="G119" i="61"/>
  <c r="H119" i="59"/>
  <c r="G120" i="59"/>
  <c r="G123" i="69"/>
  <c r="H122" i="69"/>
  <c r="G123" i="68"/>
  <c r="H122" i="68"/>
  <c r="G123" i="67"/>
  <c r="H122" i="67"/>
  <c r="G123" i="66"/>
  <c r="H122" i="66"/>
  <c r="G123" i="65"/>
  <c r="H122" i="65"/>
  <c r="G124" i="64"/>
  <c r="H123" i="64"/>
  <c r="G122" i="63"/>
  <c r="H121" i="63"/>
  <c r="G123" i="58"/>
  <c r="H122" i="58"/>
  <c r="G124" i="57"/>
  <c r="H123" i="57"/>
  <c r="H125" i="56"/>
  <c r="G126" i="56"/>
  <c r="G76" i="54"/>
  <c r="H75" i="54"/>
  <c r="G122" i="55"/>
  <c r="H121" i="55"/>
  <c r="H122" i="53"/>
  <c r="G123" i="53"/>
  <c r="H108" i="2"/>
  <c r="G109" i="2"/>
  <c r="G120" i="28"/>
  <c r="H119" i="28"/>
  <c r="G118" i="8"/>
  <c r="H117" i="8"/>
  <c r="G110" i="3"/>
  <c r="H109" i="3"/>
  <c r="H118" i="25"/>
  <c r="G119" i="25"/>
  <c r="H118" i="16"/>
  <c r="G119" i="16"/>
  <c r="H117" i="10"/>
  <c r="G118" i="10"/>
  <c r="H118" i="4"/>
  <c r="G119" i="4"/>
  <c r="H119" i="60" l="1"/>
  <c r="G120" i="60"/>
  <c r="G120" i="62"/>
  <c r="H119" i="62"/>
  <c r="H119" i="61"/>
  <c r="G120" i="61"/>
  <c r="H120" i="59"/>
  <c r="G121" i="59"/>
  <c r="G124" i="69"/>
  <c r="H123" i="69"/>
  <c r="G124" i="68"/>
  <c r="H123" i="68"/>
  <c r="G124" i="67"/>
  <c r="H123" i="67"/>
  <c r="G124" i="66"/>
  <c r="H123" i="66"/>
  <c r="G124" i="65"/>
  <c r="H123" i="65"/>
  <c r="H124" i="64"/>
  <c r="G125" i="64"/>
  <c r="G123" i="63"/>
  <c r="H122" i="63"/>
  <c r="H123" i="58"/>
  <c r="G124" i="58"/>
  <c r="H124" i="57"/>
  <c r="G125" i="57"/>
  <c r="G127" i="56"/>
  <c r="H126" i="56"/>
  <c r="H76" i="54"/>
  <c r="G77" i="54"/>
  <c r="G123" i="55"/>
  <c r="H122" i="55"/>
  <c r="G124" i="53"/>
  <c r="H123" i="53"/>
  <c r="H109" i="2"/>
  <c r="G110" i="2"/>
  <c r="H120" i="28"/>
  <c r="G121" i="28"/>
  <c r="G119" i="8"/>
  <c r="H118" i="8"/>
  <c r="H110" i="3"/>
  <c r="G111" i="3"/>
  <c r="G120" i="25"/>
  <c r="H119" i="25"/>
  <c r="G120" i="16"/>
  <c r="H119" i="16"/>
  <c r="H118" i="10"/>
  <c r="G119" i="10"/>
  <c r="G120" i="4"/>
  <c r="H119" i="4"/>
  <c r="G121" i="60" l="1"/>
  <c r="H120" i="60"/>
  <c r="H120" i="62"/>
  <c r="G121" i="62"/>
  <c r="G121" i="61"/>
  <c r="H120" i="61"/>
  <c r="G122" i="59"/>
  <c r="H121" i="59"/>
  <c r="H124" i="69"/>
  <c r="G125" i="69"/>
  <c r="H124" i="68"/>
  <c r="G125" i="68"/>
  <c r="H124" i="67"/>
  <c r="G125" i="67"/>
  <c r="H124" i="66"/>
  <c r="G125" i="66"/>
  <c r="H124" i="65"/>
  <c r="G125" i="65"/>
  <c r="H125" i="64"/>
  <c r="G126" i="64"/>
  <c r="G124" i="63"/>
  <c r="H123" i="63"/>
  <c r="H124" i="58"/>
  <c r="G125" i="58"/>
  <c r="G126" i="57"/>
  <c r="H125" i="57"/>
  <c r="G128" i="56"/>
  <c r="H127" i="56"/>
  <c r="G78" i="54"/>
  <c r="H77" i="54"/>
  <c r="H123" i="55"/>
  <c r="G124" i="55"/>
  <c r="H124" i="53"/>
  <c r="G125" i="53"/>
  <c r="G111" i="2"/>
  <c r="H110" i="2"/>
  <c r="H121" i="28"/>
  <c r="G122" i="28"/>
  <c r="G120" i="8"/>
  <c r="H119" i="8"/>
  <c r="G112" i="3"/>
  <c r="H111" i="3"/>
  <c r="H120" i="25"/>
  <c r="G121" i="25"/>
  <c r="H120" i="16"/>
  <c r="G121" i="16"/>
  <c r="G120" i="10"/>
  <c r="H119" i="10"/>
  <c r="H120" i="4"/>
  <c r="G121" i="4"/>
  <c r="G122" i="60" l="1"/>
  <c r="H121" i="60"/>
  <c r="G122" i="62"/>
  <c r="H121" i="62"/>
  <c r="G122" i="61"/>
  <c r="H121" i="61"/>
  <c r="H122" i="59"/>
  <c r="G123" i="59"/>
  <c r="G126" i="69"/>
  <c r="H125" i="69"/>
  <c r="G126" i="68"/>
  <c r="H125" i="68"/>
  <c r="G126" i="67"/>
  <c r="H125" i="67"/>
  <c r="H125" i="66"/>
  <c r="G126" i="66"/>
  <c r="G126" i="65"/>
  <c r="H125" i="65"/>
  <c r="G127" i="64"/>
  <c r="H126" i="64"/>
  <c r="H124" i="63"/>
  <c r="G125" i="63"/>
  <c r="G126" i="58"/>
  <c r="H125" i="58"/>
  <c r="G127" i="57"/>
  <c r="H126" i="57"/>
  <c r="G129" i="56"/>
  <c r="H128" i="56"/>
  <c r="G79" i="54"/>
  <c r="H78" i="54"/>
  <c r="H124" i="55"/>
  <c r="G125" i="55"/>
  <c r="G126" i="53"/>
  <c r="H125" i="53"/>
  <c r="H111" i="2"/>
  <c r="G112" i="2"/>
  <c r="G123" i="28"/>
  <c r="H122" i="28"/>
  <c r="G121" i="8"/>
  <c r="H120" i="8"/>
  <c r="H112" i="3"/>
  <c r="G113" i="3"/>
  <c r="H121" i="25"/>
  <c r="G122" i="25"/>
  <c r="H121" i="16"/>
  <c r="G122" i="16"/>
  <c r="H120" i="10"/>
  <c r="G121" i="10"/>
  <c r="H121" i="4"/>
  <c r="G122" i="4"/>
  <c r="G123" i="60" l="1"/>
  <c r="H122" i="60"/>
  <c r="G123" i="62"/>
  <c r="H122" i="62"/>
  <c r="G123" i="61"/>
  <c r="H122" i="61"/>
  <c r="G124" i="59"/>
  <c r="H123" i="59"/>
  <c r="G127" i="69"/>
  <c r="H126" i="69"/>
  <c r="H126" i="68"/>
  <c r="G127" i="68"/>
  <c r="G127" i="67"/>
  <c r="H126" i="67"/>
  <c r="G127" i="66"/>
  <c r="H126" i="66"/>
  <c r="G127" i="65"/>
  <c r="H126" i="65"/>
  <c r="G128" i="64"/>
  <c r="H127" i="64"/>
  <c r="G126" i="63"/>
  <c r="H125" i="63"/>
  <c r="H126" i="58"/>
  <c r="G127" i="58"/>
  <c r="G128" i="57"/>
  <c r="H127" i="57"/>
  <c r="H129" i="56"/>
  <c r="G130" i="56"/>
  <c r="G80" i="54"/>
  <c r="H79" i="54"/>
  <c r="G126" i="55"/>
  <c r="H125" i="55"/>
  <c r="H126" i="53"/>
  <c r="G127" i="53"/>
  <c r="H112" i="2"/>
  <c r="G113" i="2"/>
  <c r="H123" i="28"/>
  <c r="G124" i="28"/>
  <c r="H121" i="8"/>
  <c r="G122" i="8"/>
  <c r="H113" i="3"/>
  <c r="G114" i="3"/>
  <c r="G123" i="25"/>
  <c r="H122" i="25"/>
  <c r="G123" i="16"/>
  <c r="H122" i="16"/>
  <c r="H121" i="10"/>
  <c r="G122" i="10"/>
  <c r="G123" i="4"/>
  <c r="H122" i="4"/>
  <c r="G124" i="60" l="1"/>
  <c r="H123" i="60"/>
  <c r="G124" i="62"/>
  <c r="H123" i="62"/>
  <c r="G124" i="61"/>
  <c r="H123" i="61"/>
  <c r="H124" i="59"/>
  <c r="G125" i="59"/>
  <c r="H127" i="69"/>
  <c r="G128" i="69"/>
  <c r="G128" i="68"/>
  <c r="H127" i="68"/>
  <c r="G128" i="67"/>
  <c r="H127" i="67"/>
  <c r="G128" i="66"/>
  <c r="H127" i="66"/>
  <c r="G128" i="65"/>
  <c r="H127" i="65"/>
  <c r="G129" i="64"/>
  <c r="H128" i="64"/>
  <c r="G127" i="63"/>
  <c r="H126" i="63"/>
  <c r="G128" i="58"/>
  <c r="H127" i="58"/>
  <c r="G129" i="57"/>
  <c r="H128" i="57"/>
  <c r="G131" i="56"/>
  <c r="H130" i="56"/>
  <c r="H80" i="54"/>
  <c r="G81" i="54"/>
  <c r="G127" i="55"/>
  <c r="H126" i="55"/>
  <c r="G128" i="53"/>
  <c r="H127" i="53"/>
  <c r="G114" i="2"/>
  <c r="H113" i="2"/>
  <c r="H124" i="28"/>
  <c r="G125" i="28"/>
  <c r="G123" i="8"/>
  <c r="H122" i="8"/>
  <c r="G115" i="3"/>
  <c r="H114" i="3"/>
  <c r="H123" i="25"/>
  <c r="G124" i="25"/>
  <c r="H123" i="16"/>
  <c r="G124" i="16"/>
  <c r="G123" i="10"/>
  <c r="H122" i="10"/>
  <c r="H123" i="4"/>
  <c r="G124" i="4"/>
  <c r="H124" i="60" l="1"/>
  <c r="G125" i="60"/>
  <c r="G125" i="62"/>
  <c r="H124" i="62"/>
  <c r="H124" i="61"/>
  <c r="G125" i="61"/>
  <c r="G126" i="59"/>
  <c r="H125" i="59"/>
  <c r="H128" i="69"/>
  <c r="G129" i="69"/>
  <c r="G129" i="68"/>
  <c r="H128" i="68"/>
  <c r="G129" i="67"/>
  <c r="H128" i="67"/>
  <c r="G129" i="66"/>
  <c r="H128" i="66"/>
  <c r="G129" i="65"/>
  <c r="H128" i="65"/>
  <c r="H129" i="64"/>
  <c r="G130" i="64"/>
  <c r="G128" i="63"/>
  <c r="H127" i="63"/>
  <c r="H128" i="58"/>
  <c r="G129" i="58"/>
  <c r="H129" i="57"/>
  <c r="G130" i="57"/>
  <c r="G132" i="56"/>
  <c r="H131" i="56"/>
  <c r="H81" i="54"/>
  <c r="G82" i="54"/>
  <c r="H127" i="55"/>
  <c r="G128" i="55"/>
  <c r="G129" i="53"/>
  <c r="H128" i="53"/>
  <c r="H114" i="2"/>
  <c r="G115" i="2"/>
  <c r="G126" i="28"/>
  <c r="H125" i="28"/>
  <c r="G124" i="8"/>
  <c r="H123" i="8"/>
  <c r="H115" i="3"/>
  <c r="G116" i="3"/>
  <c r="H124" i="25"/>
  <c r="G125" i="25"/>
  <c r="H124" i="16"/>
  <c r="G125" i="16"/>
  <c r="H123" i="10"/>
  <c r="G124" i="10"/>
  <c r="H124" i="4"/>
  <c r="G125" i="4"/>
  <c r="G126" i="60" l="1"/>
  <c r="H125" i="60"/>
  <c r="G126" i="62"/>
  <c r="H125" i="62"/>
  <c r="H125" i="61"/>
  <c r="G126" i="61"/>
  <c r="G127" i="59"/>
  <c r="H126" i="59"/>
  <c r="H129" i="69"/>
  <c r="G130" i="69"/>
  <c r="H129" i="68"/>
  <c r="G130" i="68"/>
  <c r="H129" i="67"/>
  <c r="G130" i="67"/>
  <c r="H129" i="66"/>
  <c r="G130" i="66"/>
  <c r="H129" i="65"/>
  <c r="G130" i="65"/>
  <c r="G131" i="64"/>
  <c r="H130" i="64"/>
  <c r="G129" i="63"/>
  <c r="H128" i="63"/>
  <c r="H129" i="58"/>
  <c r="G130" i="58"/>
  <c r="G131" i="57"/>
  <c r="H130" i="57"/>
  <c r="G133" i="56"/>
  <c r="H132" i="56"/>
  <c r="H82" i="54"/>
  <c r="G83" i="54"/>
  <c r="G129" i="55"/>
  <c r="H128" i="55"/>
  <c r="H129" i="53"/>
  <c r="G130" i="53"/>
  <c r="H115" i="2"/>
  <c r="G116" i="2"/>
  <c r="H126" i="28"/>
  <c r="G127" i="28"/>
  <c r="G125" i="8"/>
  <c r="H124" i="8"/>
  <c r="H116" i="3"/>
  <c r="G117" i="3"/>
  <c r="G126" i="25"/>
  <c r="H125" i="25"/>
  <c r="G126" i="16"/>
  <c r="H125" i="16"/>
  <c r="H124" i="10"/>
  <c r="G125" i="10"/>
  <c r="G126" i="4"/>
  <c r="H125" i="4"/>
  <c r="G127" i="60" l="1"/>
  <c r="H126" i="60"/>
  <c r="G127" i="62"/>
  <c r="H126" i="62"/>
  <c r="G127" i="61"/>
  <c r="H126" i="61"/>
  <c r="G128" i="59"/>
  <c r="H127" i="59"/>
  <c r="H130" i="69"/>
  <c r="G131" i="69"/>
  <c r="H130" i="68"/>
  <c r="G131" i="68"/>
  <c r="H130" i="67"/>
  <c r="G131" i="67"/>
  <c r="H130" i="66"/>
  <c r="G131" i="66"/>
  <c r="G131" i="65"/>
  <c r="H130" i="65"/>
  <c r="G132" i="64"/>
  <c r="H131" i="64"/>
  <c r="H129" i="63"/>
  <c r="G130" i="63"/>
  <c r="H130" i="58"/>
  <c r="G131" i="58"/>
  <c r="G132" i="57"/>
  <c r="H131" i="57"/>
  <c r="G134" i="56"/>
  <c r="H133" i="56"/>
  <c r="G84" i="54"/>
  <c r="H83" i="54"/>
  <c r="H129" i="55"/>
  <c r="G130" i="55"/>
  <c r="G131" i="53"/>
  <c r="H130" i="53"/>
  <c r="G117" i="2"/>
  <c r="H116" i="2"/>
  <c r="H127" i="28"/>
  <c r="G128" i="28"/>
  <c r="G126" i="8"/>
  <c r="H125" i="8"/>
  <c r="G118" i="3"/>
  <c r="H117" i="3"/>
  <c r="H126" i="25"/>
  <c r="G127" i="25"/>
  <c r="H126" i="16"/>
  <c r="G127" i="16"/>
  <c r="G126" i="10"/>
  <c r="H125" i="10"/>
  <c r="H126" i="4"/>
  <c r="G127" i="4"/>
  <c r="H127" i="60" l="1"/>
  <c r="G128" i="60"/>
  <c r="G128" i="62"/>
  <c r="H127" i="62"/>
  <c r="G128" i="61"/>
  <c r="H127" i="61"/>
  <c r="G129" i="59"/>
  <c r="H128" i="59"/>
  <c r="G132" i="69"/>
  <c r="H131" i="69"/>
  <c r="G132" i="68"/>
  <c r="H131" i="68"/>
  <c r="H131" i="67"/>
  <c r="G132" i="67"/>
  <c r="G132" i="66"/>
  <c r="H131" i="66"/>
  <c r="G132" i="65"/>
  <c r="H131" i="65"/>
  <c r="G133" i="64"/>
  <c r="H132" i="64"/>
  <c r="G131" i="63"/>
  <c r="H130" i="63"/>
  <c r="G132" i="58"/>
  <c r="H131" i="58"/>
  <c r="G133" i="57"/>
  <c r="H132" i="57"/>
  <c r="G135" i="56"/>
  <c r="H134" i="56"/>
  <c r="G85" i="54"/>
  <c r="H84" i="54"/>
  <c r="G131" i="55"/>
  <c r="H130" i="55"/>
  <c r="G132" i="53"/>
  <c r="H131" i="53"/>
  <c r="G118" i="2"/>
  <c r="H117" i="2"/>
  <c r="G129" i="28"/>
  <c r="H128" i="28"/>
  <c r="G127" i="8"/>
  <c r="H126" i="8"/>
  <c r="H118" i="3"/>
  <c r="G119" i="3"/>
  <c r="H127" i="25"/>
  <c r="G128" i="25"/>
  <c r="H127" i="16"/>
  <c r="G128" i="16"/>
  <c r="H126" i="10"/>
  <c r="G127" i="10"/>
  <c r="H127" i="4"/>
  <c r="G128" i="4"/>
  <c r="H128" i="60" l="1"/>
  <c r="G129" i="60"/>
  <c r="G129" i="62"/>
  <c r="H128" i="62"/>
  <c r="G129" i="61"/>
  <c r="H128" i="61"/>
  <c r="H129" i="59"/>
  <c r="G130" i="59"/>
  <c r="G133" i="69"/>
  <c r="H132" i="69"/>
  <c r="G133" i="68"/>
  <c r="H132" i="68"/>
  <c r="G133" i="67"/>
  <c r="H132" i="67"/>
  <c r="H132" i="66"/>
  <c r="G133" i="66"/>
  <c r="G133" i="65"/>
  <c r="H132" i="65"/>
  <c r="H133" i="64"/>
  <c r="G134" i="64"/>
  <c r="H131" i="63"/>
  <c r="G132" i="63"/>
  <c r="G133" i="58"/>
  <c r="H132" i="58"/>
  <c r="H133" i="57"/>
  <c r="G134" i="57"/>
  <c r="H135" i="56"/>
  <c r="G136" i="56"/>
  <c r="H85" i="54"/>
  <c r="G86" i="54"/>
  <c r="G132" i="55"/>
  <c r="H131" i="55"/>
  <c r="H132" i="53"/>
  <c r="G133" i="53"/>
  <c r="H118" i="2"/>
  <c r="G119" i="2"/>
  <c r="H129" i="28"/>
  <c r="G130" i="28"/>
  <c r="H127" i="8"/>
  <c r="G128" i="8"/>
  <c r="H119" i="3"/>
  <c r="G120" i="3"/>
  <c r="G129" i="25"/>
  <c r="H128" i="25"/>
  <c r="G129" i="16"/>
  <c r="H128" i="16"/>
  <c r="H127" i="10"/>
  <c r="G128" i="10"/>
  <c r="G129" i="4"/>
  <c r="H128" i="4"/>
  <c r="G130" i="60" l="1"/>
  <c r="H129" i="60"/>
  <c r="H129" i="62"/>
  <c r="G130" i="62"/>
  <c r="H129" i="61"/>
  <c r="G130" i="61"/>
  <c r="H130" i="59"/>
  <c r="G131" i="59"/>
  <c r="G134" i="69"/>
  <c r="H133" i="69"/>
  <c r="G134" i="68"/>
  <c r="H133" i="68"/>
  <c r="G134" i="67"/>
  <c r="H133" i="67"/>
  <c r="G134" i="66"/>
  <c r="H133" i="66"/>
  <c r="G134" i="65"/>
  <c r="H133" i="65"/>
  <c r="G135" i="64"/>
  <c r="H134" i="64"/>
  <c r="H132" i="63"/>
  <c r="G133" i="63"/>
  <c r="G134" i="58"/>
  <c r="H133" i="58"/>
  <c r="G135" i="57"/>
  <c r="H134" i="57"/>
  <c r="H136" i="56"/>
  <c r="G137" i="56"/>
  <c r="H86" i="54"/>
  <c r="G87" i="54"/>
  <c r="G133" i="55"/>
  <c r="H132" i="55"/>
  <c r="G134" i="53"/>
  <c r="H133" i="53"/>
  <c r="G120" i="2"/>
  <c r="H119" i="2"/>
  <c r="H130" i="28"/>
  <c r="G131" i="28"/>
  <c r="G129" i="8"/>
  <c r="H128" i="8"/>
  <c r="G121" i="3"/>
  <c r="H120" i="3"/>
  <c r="H129" i="25"/>
  <c r="G130" i="25"/>
  <c r="H129" i="16"/>
  <c r="G130" i="16"/>
  <c r="G129" i="10"/>
  <c r="H128" i="10"/>
  <c r="H129" i="4"/>
  <c r="G130" i="4"/>
  <c r="G131" i="60" l="1"/>
  <c r="H130" i="60"/>
  <c r="H130" i="62"/>
  <c r="G131" i="62"/>
  <c r="H130" i="61"/>
  <c r="G131" i="61"/>
  <c r="G132" i="59"/>
  <c r="H131" i="59"/>
  <c r="G135" i="69"/>
  <c r="H134" i="69"/>
  <c r="G135" i="68"/>
  <c r="H134" i="68"/>
  <c r="G135" i="67"/>
  <c r="H134" i="67"/>
  <c r="G135" i="66"/>
  <c r="H134" i="66"/>
  <c r="G135" i="65"/>
  <c r="H134" i="65"/>
  <c r="H135" i="64"/>
  <c r="G136" i="64"/>
  <c r="G134" i="63"/>
  <c r="H133" i="63"/>
  <c r="H134" i="58"/>
  <c r="G135" i="58"/>
  <c r="H135" i="57"/>
  <c r="G136" i="57"/>
  <c r="G138" i="56"/>
  <c r="H137" i="56"/>
  <c r="G88" i="54"/>
  <c r="H87" i="54"/>
  <c r="G134" i="55"/>
  <c r="H133" i="55"/>
  <c r="G135" i="53"/>
  <c r="H134" i="53"/>
  <c r="H120" i="2"/>
  <c r="G121" i="2"/>
  <c r="G132" i="28"/>
  <c r="H131" i="28"/>
  <c r="G130" i="8"/>
  <c r="H129" i="8"/>
  <c r="H121" i="3"/>
  <c r="G122" i="3"/>
  <c r="H130" i="25"/>
  <c r="G131" i="25"/>
  <c r="H130" i="16"/>
  <c r="G131" i="16"/>
  <c r="H129" i="10"/>
  <c r="G130" i="10"/>
  <c r="H130" i="4"/>
  <c r="G131" i="4"/>
  <c r="G132" i="60" l="1"/>
  <c r="H131" i="60"/>
  <c r="H131" i="62"/>
  <c r="G132" i="62"/>
  <c r="G132" i="61"/>
  <c r="H131" i="61"/>
  <c r="G133" i="59"/>
  <c r="H132" i="59"/>
  <c r="H135" i="69"/>
  <c r="G136" i="69"/>
  <c r="H135" i="68"/>
  <c r="G136" i="68"/>
  <c r="H135" i="67"/>
  <c r="G136" i="67"/>
  <c r="H135" i="66"/>
  <c r="G136" i="66"/>
  <c r="H135" i="65"/>
  <c r="G136" i="65"/>
  <c r="H136" i="64"/>
  <c r="G137" i="64"/>
  <c r="G135" i="63"/>
  <c r="H134" i="63"/>
  <c r="H135" i="58"/>
  <c r="G136" i="58"/>
  <c r="G137" i="57"/>
  <c r="H136" i="57"/>
  <c r="G139" i="56"/>
  <c r="H138" i="56"/>
  <c r="G89" i="54"/>
  <c r="H88" i="54"/>
  <c r="G135" i="55"/>
  <c r="H134" i="55"/>
  <c r="H135" i="53"/>
  <c r="G136" i="53"/>
  <c r="H121" i="2"/>
  <c r="G122" i="2"/>
  <c r="H132" i="28"/>
  <c r="G133" i="28"/>
  <c r="H130" i="8"/>
  <c r="G131" i="8"/>
  <c r="G123" i="3"/>
  <c r="H122" i="3"/>
  <c r="G132" i="25"/>
  <c r="H131" i="25"/>
  <c r="G132" i="16"/>
  <c r="H131" i="16"/>
  <c r="H130" i="10"/>
  <c r="G131" i="10"/>
  <c r="G132" i="4"/>
  <c r="H131" i="4"/>
  <c r="G133" i="60" l="1"/>
  <c r="H132" i="60"/>
  <c r="H132" i="62"/>
  <c r="G133" i="62"/>
  <c r="G133" i="61"/>
  <c r="H132" i="61"/>
  <c r="H133" i="59"/>
  <c r="G134" i="59"/>
  <c r="G137" i="69"/>
  <c r="H136" i="69"/>
  <c r="G137" i="68"/>
  <c r="H136" i="68"/>
  <c r="G137" i="67"/>
  <c r="H136" i="67"/>
  <c r="G137" i="66"/>
  <c r="H136" i="66"/>
  <c r="G137" i="65"/>
  <c r="H136" i="65"/>
  <c r="G138" i="64"/>
  <c r="H137" i="64"/>
  <c r="H135" i="63"/>
  <c r="G136" i="63"/>
  <c r="G137" i="58"/>
  <c r="H136" i="58"/>
  <c r="G138" i="57"/>
  <c r="H137" i="57"/>
  <c r="G140" i="56"/>
  <c r="H139" i="56"/>
  <c r="H89" i="54"/>
  <c r="G90" i="54"/>
  <c r="H135" i="55"/>
  <c r="G136" i="55"/>
  <c r="G137" i="53"/>
  <c r="H136" i="53"/>
  <c r="G123" i="2"/>
  <c r="H122" i="2"/>
  <c r="H133" i="28"/>
  <c r="G134" i="28"/>
  <c r="H131" i="8"/>
  <c r="G132" i="8"/>
  <c r="H123" i="3"/>
  <c r="G124" i="3"/>
  <c r="H132" i="25"/>
  <c r="G133" i="25"/>
  <c r="H132" i="16"/>
  <c r="G133" i="16"/>
  <c r="G132" i="10"/>
  <c r="H131" i="10"/>
  <c r="H132" i="4"/>
  <c r="G133" i="4"/>
  <c r="G134" i="60" l="1"/>
  <c r="H133" i="60"/>
  <c r="G134" i="62"/>
  <c r="H133" i="62"/>
  <c r="G134" i="61"/>
  <c r="H133" i="61"/>
  <c r="G135" i="59"/>
  <c r="H134" i="59"/>
  <c r="G138" i="69"/>
  <c r="H137" i="69"/>
  <c r="H137" i="68"/>
  <c r="G138" i="68"/>
  <c r="G138" i="67"/>
  <c r="H137" i="67"/>
  <c r="G138" i="66"/>
  <c r="H137" i="66"/>
  <c r="G138" i="65"/>
  <c r="H137" i="65"/>
  <c r="G139" i="64"/>
  <c r="H138" i="64"/>
  <c r="H136" i="63"/>
  <c r="G137" i="63"/>
  <c r="H137" i="58"/>
  <c r="G138" i="58"/>
  <c r="G139" i="57"/>
  <c r="H138" i="57"/>
  <c r="H140" i="56"/>
  <c r="G141" i="56"/>
  <c r="H90" i="54"/>
  <c r="G91" i="54"/>
  <c r="G137" i="55"/>
  <c r="H136" i="55"/>
  <c r="H137" i="53"/>
  <c r="G138" i="53"/>
  <c r="H123" i="2"/>
  <c r="G124" i="2"/>
  <c r="G135" i="28"/>
  <c r="H134" i="28"/>
  <c r="G133" i="8"/>
  <c r="H132" i="8"/>
  <c r="H124" i="3"/>
  <c r="G125" i="3"/>
  <c r="H133" i="25"/>
  <c r="G134" i="25"/>
  <c r="H133" i="16"/>
  <c r="G134" i="16"/>
  <c r="H132" i="10"/>
  <c r="G133" i="10"/>
  <c r="H133" i="4"/>
  <c r="G134" i="4"/>
  <c r="G135" i="60" l="1"/>
  <c r="H134" i="60"/>
  <c r="G135" i="62"/>
  <c r="H134" i="62"/>
  <c r="G135" i="61"/>
  <c r="H134" i="61"/>
  <c r="H135" i="59"/>
  <c r="G136" i="59"/>
  <c r="H138" i="69"/>
  <c r="G139" i="69"/>
  <c r="G139" i="68"/>
  <c r="H138" i="68"/>
  <c r="G139" i="67"/>
  <c r="H138" i="67"/>
  <c r="G139" i="66"/>
  <c r="H138" i="66"/>
  <c r="G139" i="65"/>
  <c r="H138" i="65"/>
  <c r="G140" i="64"/>
  <c r="H139" i="64"/>
  <c r="G138" i="63"/>
  <c r="H137" i="63"/>
  <c r="G139" i="58"/>
  <c r="H138" i="58"/>
  <c r="G140" i="57"/>
  <c r="H139" i="57"/>
  <c r="H141" i="56"/>
  <c r="G142" i="56"/>
  <c r="G92" i="54"/>
  <c r="H91" i="54"/>
  <c r="G138" i="55"/>
  <c r="H137" i="55"/>
  <c r="G139" i="53"/>
  <c r="H138" i="53"/>
  <c r="H124" i="2"/>
  <c r="G125" i="2"/>
  <c r="H135" i="28"/>
  <c r="G136" i="28"/>
  <c r="G134" i="8"/>
  <c r="H133" i="8"/>
  <c r="H125" i="3"/>
  <c r="G126" i="3"/>
  <c r="G135" i="25"/>
  <c r="H134" i="25"/>
  <c r="G135" i="16"/>
  <c r="H134" i="16"/>
  <c r="H133" i="10"/>
  <c r="G134" i="10"/>
  <c r="G135" i="4"/>
  <c r="H134" i="4"/>
  <c r="H135" i="60" l="1"/>
  <c r="G136" i="60"/>
  <c r="H135" i="62"/>
  <c r="G136" i="62"/>
  <c r="H135" i="61"/>
  <c r="G136" i="61"/>
  <c r="G137" i="59"/>
  <c r="H136" i="59"/>
  <c r="H139" i="69"/>
  <c r="G140" i="69"/>
  <c r="G140" i="68"/>
  <c r="H139" i="68"/>
  <c r="G140" i="67"/>
  <c r="H139" i="67"/>
  <c r="G140" i="66"/>
  <c r="H139" i="66"/>
  <c r="G140" i="65"/>
  <c r="H139" i="65"/>
  <c r="H140" i="64"/>
  <c r="G141" i="64"/>
  <c r="G139" i="63"/>
  <c r="H138" i="63"/>
  <c r="H139" i="58"/>
  <c r="G140" i="58"/>
  <c r="H140" i="57"/>
  <c r="G141" i="57"/>
  <c r="G143" i="56"/>
  <c r="H142" i="56"/>
  <c r="G93" i="54"/>
  <c r="H92" i="54"/>
  <c r="H138" i="55"/>
  <c r="G139" i="55"/>
  <c r="G140" i="53"/>
  <c r="H139" i="53"/>
  <c r="G126" i="2"/>
  <c r="H125" i="2"/>
  <c r="H136" i="28"/>
  <c r="G137" i="28"/>
  <c r="G135" i="8"/>
  <c r="H134" i="8"/>
  <c r="G127" i="3"/>
  <c r="H126" i="3"/>
  <c r="H135" i="25"/>
  <c r="G136" i="25"/>
  <c r="H135" i="16"/>
  <c r="G136" i="16"/>
  <c r="G135" i="10"/>
  <c r="H134" i="10"/>
  <c r="H135" i="4"/>
  <c r="G136" i="4"/>
  <c r="H136" i="60" l="1"/>
  <c r="G137" i="60"/>
  <c r="G137" i="62"/>
  <c r="H136" i="62"/>
  <c r="G137" i="61"/>
  <c r="H136" i="61"/>
  <c r="G138" i="59"/>
  <c r="H137" i="59"/>
  <c r="H140" i="69"/>
  <c r="G141" i="69"/>
  <c r="H140" i="68"/>
  <c r="G141" i="68"/>
  <c r="H140" i="67"/>
  <c r="G141" i="67"/>
  <c r="H140" i="66"/>
  <c r="G141" i="66"/>
  <c r="H140" i="65"/>
  <c r="G141" i="65"/>
  <c r="H141" i="64"/>
  <c r="G142" i="64"/>
  <c r="G140" i="63"/>
  <c r="H139" i="63"/>
  <c r="H140" i="58"/>
  <c r="G141" i="58"/>
  <c r="G142" i="57"/>
  <c r="H141" i="57"/>
  <c r="G144" i="56"/>
  <c r="H143" i="56"/>
  <c r="H93" i="54"/>
  <c r="G94" i="54"/>
  <c r="G140" i="55"/>
  <c r="H139" i="55"/>
  <c r="H140" i="53"/>
  <c r="G141" i="53"/>
  <c r="H126" i="2"/>
  <c r="G127" i="2"/>
  <c r="G138" i="28"/>
  <c r="H137" i="28"/>
  <c r="G136" i="8"/>
  <c r="H135" i="8"/>
  <c r="H127" i="3"/>
  <c r="G128" i="3"/>
  <c r="H136" i="25"/>
  <c r="G137" i="25"/>
  <c r="H136" i="16"/>
  <c r="G137" i="16"/>
  <c r="H135" i="10"/>
  <c r="G136" i="10"/>
  <c r="H136" i="4"/>
  <c r="G137" i="4"/>
  <c r="G138" i="60" l="1"/>
  <c r="H137" i="60"/>
  <c r="G138" i="62"/>
  <c r="H137" i="62"/>
  <c r="G138" i="61"/>
  <c r="H137" i="61"/>
  <c r="G139" i="59"/>
  <c r="H138" i="59"/>
  <c r="H141" i="69"/>
  <c r="G142" i="69"/>
  <c r="G142" i="68"/>
  <c r="H141" i="68"/>
  <c r="H141" i="67"/>
  <c r="G142" i="67"/>
  <c r="H141" i="66"/>
  <c r="G142" i="66"/>
  <c r="G142" i="65"/>
  <c r="H141" i="65"/>
  <c r="G143" i="64"/>
  <c r="H142" i="64"/>
  <c r="H140" i="63"/>
  <c r="G141" i="63"/>
  <c r="H141" i="58"/>
  <c r="G142" i="58"/>
  <c r="G143" i="57"/>
  <c r="H142" i="57"/>
  <c r="G145" i="56"/>
  <c r="H144" i="56"/>
  <c r="G95" i="54"/>
  <c r="H94" i="54"/>
  <c r="H140" i="55"/>
  <c r="G141" i="55"/>
  <c r="G142" i="53"/>
  <c r="H141" i="53"/>
  <c r="H127" i="2"/>
  <c r="G128" i="2"/>
  <c r="H138" i="28"/>
  <c r="G139" i="28"/>
  <c r="G137" i="8"/>
  <c r="H136" i="8"/>
  <c r="H128" i="3"/>
  <c r="G129" i="3"/>
  <c r="G138" i="25"/>
  <c r="H137" i="25"/>
  <c r="G138" i="16"/>
  <c r="H137" i="16"/>
  <c r="H136" i="10"/>
  <c r="G137" i="10"/>
  <c r="G138" i="4"/>
  <c r="H137" i="4"/>
  <c r="H138" i="60" l="1"/>
  <c r="G139" i="60"/>
  <c r="G139" i="62"/>
  <c r="H138" i="62"/>
  <c r="G139" i="61"/>
  <c r="H138" i="61"/>
  <c r="G140" i="59"/>
  <c r="H139" i="59"/>
  <c r="G143" i="69"/>
  <c r="H142" i="69"/>
  <c r="G143" i="68"/>
  <c r="H142" i="68"/>
  <c r="H142" i="67"/>
  <c r="G143" i="67"/>
  <c r="H142" i="66"/>
  <c r="G143" i="66"/>
  <c r="G143" i="65"/>
  <c r="H142" i="65"/>
  <c r="G144" i="64"/>
  <c r="H143" i="64"/>
  <c r="G142" i="63"/>
  <c r="H141" i="63"/>
  <c r="G143" i="58"/>
  <c r="H142" i="58"/>
  <c r="G144" i="57"/>
  <c r="H143" i="57"/>
  <c r="G146" i="56"/>
  <c r="H145" i="56"/>
  <c r="H95" i="54"/>
  <c r="G96" i="54"/>
  <c r="G142" i="55"/>
  <c r="H141" i="55"/>
  <c r="G143" i="53"/>
  <c r="H142" i="53"/>
  <c r="G129" i="2"/>
  <c r="H128" i="2"/>
  <c r="H139" i="28"/>
  <c r="G140" i="28"/>
  <c r="G138" i="8"/>
  <c r="H137" i="8"/>
  <c r="H129" i="3"/>
  <c r="G130" i="3"/>
  <c r="H138" i="25"/>
  <c r="G139" i="25"/>
  <c r="H138" i="16"/>
  <c r="G139" i="16"/>
  <c r="G138" i="10"/>
  <c r="H137" i="10"/>
  <c r="H138" i="4"/>
  <c r="G139" i="4"/>
  <c r="G140" i="60" l="1"/>
  <c r="H139" i="60"/>
  <c r="G140" i="62"/>
  <c r="H139" i="62"/>
  <c r="G140" i="61"/>
  <c r="H139" i="61"/>
  <c r="H140" i="59"/>
  <c r="G141" i="59"/>
  <c r="G144" i="69"/>
  <c r="H143" i="69"/>
  <c r="G144" i="68"/>
  <c r="H143" i="68"/>
  <c r="G144" i="67"/>
  <c r="H143" i="67"/>
  <c r="G144" i="66"/>
  <c r="H143" i="66"/>
  <c r="G144" i="65"/>
  <c r="H143" i="65"/>
  <c r="H144" i="64"/>
  <c r="G145" i="64"/>
  <c r="G143" i="63"/>
  <c r="H142" i="63"/>
  <c r="G144" i="58"/>
  <c r="H143" i="58"/>
  <c r="H144" i="57"/>
  <c r="G145" i="57"/>
  <c r="H146" i="56"/>
  <c r="G147" i="56"/>
  <c r="H96" i="54"/>
  <c r="G97" i="54"/>
  <c r="G143" i="55"/>
  <c r="H142" i="55"/>
  <c r="H143" i="53"/>
  <c r="G144" i="53"/>
  <c r="H129" i="2"/>
  <c r="G130" i="2"/>
  <c r="G141" i="28"/>
  <c r="H140" i="28"/>
  <c r="H138" i="8"/>
  <c r="G139" i="8"/>
  <c r="H130" i="3"/>
  <c r="G131" i="3"/>
  <c r="H139" i="25"/>
  <c r="G140" i="25"/>
  <c r="H139" i="16"/>
  <c r="G140" i="16"/>
  <c r="H138" i="10"/>
  <c r="G139" i="10"/>
  <c r="H139" i="4"/>
  <c r="G140" i="4"/>
  <c r="H140" i="60" l="1"/>
  <c r="G141" i="60"/>
  <c r="H140" i="62"/>
  <c r="G141" i="62"/>
  <c r="H140" i="61"/>
  <c r="G141" i="61"/>
  <c r="H141" i="59"/>
  <c r="G142" i="59"/>
  <c r="G145" i="69"/>
  <c r="H144" i="69"/>
  <c r="G145" i="68"/>
  <c r="H144" i="68"/>
  <c r="G145" i="67"/>
  <c r="H144" i="67"/>
  <c r="G145" i="66"/>
  <c r="H144" i="66"/>
  <c r="G145" i="65"/>
  <c r="H144" i="65"/>
  <c r="G146" i="64"/>
  <c r="H145" i="64"/>
  <c r="G144" i="63"/>
  <c r="H143" i="63"/>
  <c r="G145" i="58"/>
  <c r="H144" i="58"/>
  <c r="G146" i="57"/>
  <c r="H145" i="57"/>
  <c r="G148" i="56"/>
  <c r="H147" i="56"/>
  <c r="H97" i="54"/>
  <c r="G98" i="54"/>
  <c r="G144" i="55"/>
  <c r="H143" i="55"/>
  <c r="H144" i="53"/>
  <c r="G145" i="53"/>
  <c r="H130" i="2"/>
  <c r="G131" i="2"/>
  <c r="H141" i="28"/>
  <c r="G142" i="28"/>
  <c r="H139" i="8"/>
  <c r="G140" i="8"/>
  <c r="H131" i="3"/>
  <c r="G132" i="3"/>
  <c r="G141" i="25"/>
  <c r="H140" i="25"/>
  <c r="G141" i="16"/>
  <c r="H140" i="16"/>
  <c r="H139" i="10"/>
  <c r="G140" i="10"/>
  <c r="G141" i="4"/>
  <c r="H140" i="4"/>
  <c r="G142" i="60" l="1"/>
  <c r="H141" i="60"/>
  <c r="G142" i="62"/>
  <c r="H141" i="62"/>
  <c r="H141" i="61"/>
  <c r="G142" i="61"/>
  <c r="G143" i="59"/>
  <c r="H142" i="59"/>
  <c r="G146" i="69"/>
  <c r="H145" i="69"/>
  <c r="G146" i="68"/>
  <c r="H145" i="68"/>
  <c r="G146" i="67"/>
  <c r="H145" i="67"/>
  <c r="G146" i="66"/>
  <c r="H145" i="66"/>
  <c r="G146" i="65"/>
  <c r="H145" i="65"/>
  <c r="H146" i="64"/>
  <c r="G147" i="64"/>
  <c r="G145" i="63"/>
  <c r="H144" i="63"/>
  <c r="H145" i="58"/>
  <c r="G146" i="58"/>
  <c r="H146" i="57"/>
  <c r="G147" i="57"/>
  <c r="G149" i="56"/>
  <c r="H148" i="56"/>
  <c r="H98" i="54"/>
  <c r="G99" i="54"/>
  <c r="G145" i="55"/>
  <c r="H144" i="55"/>
  <c r="G146" i="53"/>
  <c r="H145" i="53"/>
  <c r="G132" i="2"/>
  <c r="H131" i="2"/>
  <c r="H142" i="28"/>
  <c r="G143" i="28"/>
  <c r="G141" i="8"/>
  <c r="H140" i="8"/>
  <c r="G133" i="3"/>
  <c r="H132" i="3"/>
  <c r="H141" i="25"/>
  <c r="G142" i="25"/>
  <c r="H141" i="16"/>
  <c r="G142" i="16"/>
  <c r="G141" i="10"/>
  <c r="H140" i="10"/>
  <c r="H141" i="4"/>
  <c r="G142" i="4"/>
  <c r="G143" i="60" l="1"/>
  <c r="H142" i="60"/>
  <c r="G143" i="62"/>
  <c r="H142" i="62"/>
  <c r="G143" i="61"/>
  <c r="H142" i="61"/>
  <c r="G144" i="59"/>
  <c r="H143" i="59"/>
  <c r="H146" i="69"/>
  <c r="G147" i="69"/>
  <c r="H146" i="68"/>
  <c r="G147" i="68"/>
  <c r="H146" i="67"/>
  <c r="G147" i="67"/>
  <c r="H146" i="66"/>
  <c r="G147" i="66"/>
  <c r="H146" i="65"/>
  <c r="G147" i="65"/>
  <c r="G148" i="64"/>
  <c r="H147" i="64"/>
  <c r="G146" i="63"/>
  <c r="H145" i="63"/>
  <c r="H146" i="58"/>
  <c r="G147" i="58"/>
  <c r="G148" i="57"/>
  <c r="H147" i="57"/>
  <c r="G150" i="56"/>
  <c r="H149" i="56"/>
  <c r="H99" i="54"/>
  <c r="G100" i="54"/>
  <c r="G146" i="55"/>
  <c r="H145" i="55"/>
  <c r="H146" i="53"/>
  <c r="G147" i="53"/>
  <c r="H132" i="2"/>
  <c r="G133" i="2"/>
  <c r="G144" i="28"/>
  <c r="H143" i="28"/>
  <c r="G142" i="8"/>
  <c r="H141" i="8"/>
  <c r="H133" i="3"/>
  <c r="G134" i="3"/>
  <c r="H142" i="25"/>
  <c r="G143" i="25"/>
  <c r="H142" i="16"/>
  <c r="G143" i="16"/>
  <c r="H141" i="10"/>
  <c r="G142" i="10"/>
  <c r="H142" i="4"/>
  <c r="G143" i="4"/>
  <c r="H143" i="60" l="1"/>
  <c r="G144" i="60"/>
  <c r="G144" i="62"/>
  <c r="H143" i="62"/>
  <c r="G144" i="61"/>
  <c r="H143" i="61"/>
  <c r="H144" i="59"/>
  <c r="G145" i="59"/>
  <c r="G148" i="69"/>
  <c r="H147" i="69"/>
  <c r="G148" i="68"/>
  <c r="H147" i="68"/>
  <c r="H147" i="67"/>
  <c r="G148" i="67"/>
  <c r="H147" i="66"/>
  <c r="G148" i="66"/>
  <c r="G148" i="65"/>
  <c r="H147" i="65"/>
  <c r="G149" i="64"/>
  <c r="H148" i="64"/>
  <c r="H146" i="63"/>
  <c r="G147" i="63"/>
  <c r="G148" i="58"/>
  <c r="H147" i="58"/>
  <c r="G149" i="57"/>
  <c r="H148" i="57"/>
  <c r="G151" i="56"/>
  <c r="H150" i="56"/>
  <c r="G101" i="54"/>
  <c r="H100" i="54"/>
  <c r="H146" i="55"/>
  <c r="G147" i="55"/>
  <c r="G148" i="53"/>
  <c r="H147" i="53"/>
  <c r="G134" i="2"/>
  <c r="H133" i="2"/>
  <c r="H144" i="28"/>
  <c r="G145" i="28"/>
  <c r="G143" i="8"/>
  <c r="H142" i="8"/>
  <c r="H134" i="3"/>
  <c r="G135" i="3"/>
  <c r="G144" i="25"/>
  <c r="H143" i="25"/>
  <c r="G144" i="16"/>
  <c r="H143" i="16"/>
  <c r="H142" i="10"/>
  <c r="G143" i="10"/>
  <c r="G144" i="4"/>
  <c r="H143" i="4"/>
  <c r="G145" i="60" l="1"/>
  <c r="H144" i="60"/>
  <c r="G145" i="62"/>
  <c r="H144" i="62"/>
  <c r="G145" i="61"/>
  <c r="H144" i="61"/>
  <c r="G146" i="59"/>
  <c r="H145" i="59"/>
  <c r="G149" i="69"/>
  <c r="H148" i="69"/>
  <c r="H148" i="68"/>
  <c r="G149" i="68"/>
  <c r="G149" i="67"/>
  <c r="H148" i="67"/>
  <c r="G149" i="66"/>
  <c r="H148" i="66"/>
  <c r="G149" i="65"/>
  <c r="H148" i="65"/>
  <c r="G150" i="64"/>
  <c r="H149" i="64"/>
  <c r="G148" i="63"/>
  <c r="H147" i="63"/>
  <c r="H148" i="58"/>
  <c r="G149" i="58"/>
  <c r="G150" i="57"/>
  <c r="H149" i="57"/>
  <c r="H151" i="56"/>
  <c r="G152" i="56"/>
  <c r="G102" i="54"/>
  <c r="H101" i="54"/>
  <c r="G148" i="55"/>
  <c r="H147" i="55"/>
  <c r="H148" i="53"/>
  <c r="G149" i="53"/>
  <c r="G135" i="2"/>
  <c r="H134" i="2"/>
  <c r="H145" i="28"/>
  <c r="G146" i="28"/>
  <c r="G144" i="8"/>
  <c r="H143" i="8"/>
  <c r="H135" i="3"/>
  <c r="G136" i="3"/>
  <c r="H144" i="25"/>
  <c r="G145" i="25"/>
  <c r="H144" i="16"/>
  <c r="G145" i="16"/>
  <c r="G144" i="10"/>
  <c r="H143" i="10"/>
  <c r="H144" i="4"/>
  <c r="G145" i="4"/>
  <c r="H145" i="60" l="1"/>
  <c r="G146" i="60"/>
  <c r="G146" i="62"/>
  <c r="H145" i="62"/>
  <c r="G146" i="61"/>
  <c r="H145" i="61"/>
  <c r="H146" i="59"/>
  <c r="G147" i="59"/>
  <c r="H149" i="69"/>
  <c r="G150" i="69"/>
  <c r="G150" i="68"/>
  <c r="H149" i="68"/>
  <c r="G150" i="67"/>
  <c r="H149" i="67"/>
  <c r="G150" i="66"/>
  <c r="H149" i="66"/>
  <c r="G150" i="65"/>
  <c r="H149" i="65"/>
  <c r="G151" i="64"/>
  <c r="H150" i="64"/>
  <c r="G149" i="63"/>
  <c r="H148" i="63"/>
  <c r="G150" i="58"/>
  <c r="H149" i="58"/>
  <c r="G151" i="57"/>
  <c r="H150" i="57"/>
  <c r="G153" i="56"/>
  <c r="H152" i="56"/>
  <c r="G103" i="54"/>
  <c r="H102" i="54"/>
  <c r="G149" i="55"/>
  <c r="H148" i="55"/>
  <c r="G150" i="53"/>
  <c r="H149" i="53"/>
  <c r="G136" i="2"/>
  <c r="H135" i="2"/>
  <c r="G147" i="28"/>
  <c r="H146" i="28"/>
  <c r="H144" i="8"/>
  <c r="G145" i="8"/>
  <c r="H136" i="3"/>
  <c r="G137" i="3"/>
  <c r="H145" i="25"/>
  <c r="G146" i="25"/>
  <c r="H145" i="16"/>
  <c r="G146" i="16"/>
  <c r="H144" i="10"/>
  <c r="G145" i="10"/>
  <c r="H145" i="4"/>
  <c r="G146" i="4"/>
  <c r="H146" i="60" l="1"/>
  <c r="G147" i="60"/>
  <c r="H146" i="62"/>
  <c r="G147" i="62"/>
  <c r="H146" i="61"/>
  <c r="G147" i="61"/>
  <c r="H147" i="59"/>
  <c r="G148" i="59"/>
  <c r="H150" i="69"/>
  <c r="G151" i="69"/>
  <c r="G151" i="68"/>
  <c r="H150" i="68"/>
  <c r="G151" i="67"/>
  <c r="H150" i="67"/>
  <c r="G151" i="66"/>
  <c r="H150" i="66"/>
  <c r="G151" i="65"/>
  <c r="H150" i="65"/>
  <c r="H151" i="64"/>
  <c r="G152" i="64"/>
  <c r="G150" i="63"/>
  <c r="H149" i="63"/>
  <c r="H150" i="58"/>
  <c r="G151" i="58"/>
  <c r="H151" i="57"/>
  <c r="G152" i="57"/>
  <c r="G154" i="56"/>
  <c r="H153" i="56"/>
  <c r="H103" i="54"/>
  <c r="G104" i="54"/>
  <c r="H149" i="55"/>
  <c r="G150" i="55"/>
  <c r="G151" i="53"/>
  <c r="H150" i="53"/>
  <c r="H136" i="2"/>
  <c r="G137" i="2"/>
  <c r="H147" i="28"/>
  <c r="G148" i="28"/>
  <c r="G146" i="8"/>
  <c r="H145" i="8"/>
  <c r="H137" i="3"/>
  <c r="G138" i="3"/>
  <c r="G147" i="25"/>
  <c r="H146" i="25"/>
  <c r="G147" i="16"/>
  <c r="H146" i="16"/>
  <c r="H145" i="10"/>
  <c r="G146" i="10"/>
  <c r="G147" i="4"/>
  <c r="H146" i="4"/>
  <c r="G148" i="60" l="1"/>
  <c r="H147" i="60"/>
  <c r="H147" i="62"/>
  <c r="G148" i="62"/>
  <c r="H147" i="61"/>
  <c r="G148" i="61"/>
  <c r="G149" i="59"/>
  <c r="H148" i="59"/>
  <c r="H151" i="69"/>
  <c r="G152" i="69"/>
  <c r="H151" i="68"/>
  <c r="G152" i="68"/>
  <c r="H151" i="67"/>
  <c r="G152" i="67"/>
  <c r="H151" i="66"/>
  <c r="G152" i="66"/>
  <c r="H151" i="65"/>
  <c r="G152" i="65"/>
  <c r="H152" i="64"/>
  <c r="G153" i="64"/>
  <c r="G151" i="63"/>
  <c r="H150" i="63"/>
  <c r="H151" i="58"/>
  <c r="G152" i="58"/>
  <c r="G153" i="57"/>
  <c r="H152" i="57"/>
  <c r="G155" i="56"/>
  <c r="H154" i="56"/>
  <c r="G105" i="54"/>
  <c r="H104" i="54"/>
  <c r="G151" i="55"/>
  <c r="H150" i="55"/>
  <c r="H151" i="53"/>
  <c r="G152" i="53"/>
  <c r="G138" i="2"/>
  <c r="H137" i="2"/>
  <c r="H148" i="28"/>
  <c r="G149" i="28"/>
  <c r="H146" i="8"/>
  <c r="G147" i="8"/>
  <c r="G139" i="3"/>
  <c r="H138" i="3"/>
  <c r="H147" i="25"/>
  <c r="G148" i="25"/>
  <c r="H147" i="16"/>
  <c r="G148" i="16"/>
  <c r="G147" i="10"/>
  <c r="H146" i="10"/>
  <c r="H147" i="4"/>
  <c r="G148" i="4"/>
  <c r="G149" i="60" l="1"/>
  <c r="H148" i="60"/>
  <c r="G149" i="62"/>
  <c r="H148" i="62"/>
  <c r="G149" i="61"/>
  <c r="H148" i="61"/>
  <c r="G150" i="59"/>
  <c r="H149" i="59"/>
  <c r="H152" i="69"/>
  <c r="G153" i="69"/>
  <c r="H152" i="68"/>
  <c r="G153" i="68"/>
  <c r="G153" i="67"/>
  <c r="H152" i="67"/>
  <c r="H152" i="66"/>
  <c r="G153" i="66"/>
  <c r="G153" i="65"/>
  <c r="H152" i="65"/>
  <c r="G154" i="64"/>
  <c r="H153" i="64"/>
  <c r="H151" i="63"/>
  <c r="G152" i="63"/>
  <c r="H152" i="58"/>
  <c r="G153" i="58"/>
  <c r="G154" i="57"/>
  <c r="H153" i="57"/>
  <c r="G156" i="56"/>
  <c r="H155" i="56"/>
  <c r="G106" i="54"/>
  <c r="H105" i="54"/>
  <c r="H151" i="55"/>
  <c r="G152" i="55"/>
  <c r="H152" i="53"/>
  <c r="G153" i="53"/>
  <c r="H138" i="2"/>
  <c r="G139" i="2"/>
  <c r="G150" i="28"/>
  <c r="H149" i="28"/>
  <c r="H147" i="8"/>
  <c r="G148" i="8"/>
  <c r="H139" i="3"/>
  <c r="G140" i="3"/>
  <c r="H148" i="25"/>
  <c r="G149" i="25"/>
  <c r="H148" i="16"/>
  <c r="G149" i="16"/>
  <c r="H147" i="10"/>
  <c r="G148" i="10"/>
  <c r="H148" i="4"/>
  <c r="G149" i="4"/>
  <c r="G150" i="60" l="1"/>
  <c r="H149" i="60"/>
  <c r="H149" i="62"/>
  <c r="G150" i="62"/>
  <c r="G150" i="61"/>
  <c r="H149" i="61"/>
  <c r="G151" i="59"/>
  <c r="H150" i="59"/>
  <c r="H153" i="69"/>
  <c r="G154" i="69"/>
  <c r="G154" i="68"/>
  <c r="H153" i="68"/>
  <c r="H153" i="67"/>
  <c r="G154" i="67"/>
  <c r="G154" i="66"/>
  <c r="H153" i="66"/>
  <c r="G154" i="65"/>
  <c r="H153" i="65"/>
  <c r="G155" i="64"/>
  <c r="H154" i="64"/>
  <c r="G153" i="63"/>
  <c r="H152" i="63"/>
  <c r="G154" i="58"/>
  <c r="H153" i="58"/>
  <c r="G155" i="57"/>
  <c r="H154" i="57"/>
  <c r="G157" i="56"/>
  <c r="H156" i="56"/>
  <c r="G107" i="54"/>
  <c r="H106" i="54"/>
  <c r="H152" i="55"/>
  <c r="G153" i="55"/>
  <c r="G154" i="53"/>
  <c r="H153" i="53"/>
  <c r="H139" i="2"/>
  <c r="G140" i="2"/>
  <c r="H150" i="28"/>
  <c r="G151" i="28"/>
  <c r="G149" i="8"/>
  <c r="H148" i="8"/>
  <c r="G141" i="3"/>
  <c r="H140" i="3"/>
  <c r="G150" i="25"/>
  <c r="H149" i="25"/>
  <c r="G150" i="16"/>
  <c r="H149" i="16"/>
  <c r="H148" i="10"/>
  <c r="G149" i="10"/>
  <c r="G150" i="4"/>
  <c r="H149" i="4"/>
  <c r="G151" i="60" l="1"/>
  <c r="H150" i="60"/>
  <c r="H150" i="62"/>
  <c r="G151" i="62"/>
  <c r="G151" i="61"/>
  <c r="H150" i="61"/>
  <c r="H151" i="59"/>
  <c r="G152" i="59"/>
  <c r="G155" i="69"/>
  <c r="H154" i="69"/>
  <c r="G155" i="68"/>
  <c r="H154" i="68"/>
  <c r="G155" i="67"/>
  <c r="H154" i="67"/>
  <c r="H154" i="66"/>
  <c r="G155" i="66"/>
  <c r="G155" i="65"/>
  <c r="H154" i="65"/>
  <c r="H155" i="64"/>
  <c r="G156" i="64"/>
  <c r="G154" i="63"/>
  <c r="H153" i="63"/>
  <c r="G155" i="58"/>
  <c r="H154" i="58"/>
  <c r="H155" i="57"/>
  <c r="G156" i="57"/>
  <c r="H157" i="56"/>
  <c r="G158" i="56"/>
  <c r="G108" i="54"/>
  <c r="H107" i="54"/>
  <c r="H153" i="55"/>
  <c r="G154" i="55"/>
  <c r="H154" i="53"/>
  <c r="G155" i="53"/>
  <c r="G141" i="2"/>
  <c r="H140" i="2"/>
  <c r="H151" i="28"/>
  <c r="G152" i="28"/>
  <c r="H149" i="8"/>
  <c r="G150" i="8"/>
  <c r="G142" i="3"/>
  <c r="H141" i="3"/>
  <c r="H150" i="25"/>
  <c r="G151" i="25"/>
  <c r="H150" i="16"/>
  <c r="G151" i="16"/>
  <c r="G150" i="10"/>
  <c r="H149" i="10"/>
  <c r="H150" i="4"/>
  <c r="G151" i="4"/>
  <c r="H151" i="60" l="1"/>
  <c r="G152" i="60"/>
  <c r="H151" i="62"/>
  <c r="G152" i="62"/>
  <c r="H151" i="61"/>
  <c r="G152" i="61"/>
  <c r="H152" i="59"/>
  <c r="G153" i="59"/>
  <c r="G156" i="69"/>
  <c r="H155" i="69"/>
  <c r="G156" i="68"/>
  <c r="H155" i="68"/>
  <c r="G156" i="67"/>
  <c r="H155" i="67"/>
  <c r="G156" i="66"/>
  <c r="H155" i="66"/>
  <c r="G156" i="65"/>
  <c r="H155" i="65"/>
  <c r="G157" i="64"/>
  <c r="H156" i="64"/>
  <c r="G155" i="63"/>
  <c r="H154" i="63"/>
  <c r="G156" i="58"/>
  <c r="H155" i="58"/>
  <c r="G157" i="57"/>
  <c r="H156" i="57"/>
  <c r="G159" i="56"/>
  <c r="H158" i="56"/>
  <c r="H108" i="54"/>
  <c r="G109" i="54"/>
  <c r="G155" i="55"/>
  <c r="H154" i="55"/>
  <c r="G156" i="53"/>
  <c r="H155" i="53"/>
  <c r="H141" i="2"/>
  <c r="G142" i="2"/>
  <c r="G153" i="28"/>
  <c r="H152" i="28"/>
  <c r="G151" i="8"/>
  <c r="H150" i="8"/>
  <c r="H142" i="3"/>
  <c r="G143" i="3"/>
  <c r="H151" i="25"/>
  <c r="G152" i="25"/>
  <c r="H151" i="16"/>
  <c r="G152" i="16"/>
  <c r="H150" i="10"/>
  <c r="G151" i="10"/>
  <c r="H151" i="4"/>
  <c r="G152" i="4"/>
  <c r="G153" i="60" l="1"/>
  <c r="H152" i="60"/>
  <c r="H152" i="62"/>
  <c r="G153" i="62"/>
  <c r="H152" i="61"/>
  <c r="G153" i="61"/>
  <c r="G154" i="59"/>
  <c r="H153" i="59"/>
  <c r="G157" i="69"/>
  <c r="H156" i="69"/>
  <c r="G157" i="68"/>
  <c r="H156" i="68"/>
  <c r="G157" i="67"/>
  <c r="H156" i="67"/>
  <c r="G157" i="66"/>
  <c r="H156" i="66"/>
  <c r="G157" i="65"/>
  <c r="H156" i="65"/>
  <c r="H157" i="64"/>
  <c r="G158" i="64"/>
  <c r="G156" i="63"/>
  <c r="H155" i="63"/>
  <c r="H156" i="58"/>
  <c r="G157" i="58"/>
  <c r="H157" i="57"/>
  <c r="G158" i="57"/>
  <c r="G160" i="56"/>
  <c r="H159" i="56"/>
  <c r="G110" i="54"/>
  <c r="H109" i="54"/>
  <c r="G156" i="55"/>
  <c r="H155" i="55"/>
  <c r="G157" i="53"/>
  <c r="H156" i="53"/>
  <c r="H142" i="2"/>
  <c r="G143" i="2"/>
  <c r="H153" i="28"/>
  <c r="G154" i="28"/>
  <c r="H151" i="8"/>
  <c r="G152" i="8"/>
  <c r="H143" i="3"/>
  <c r="G144" i="3"/>
  <c r="G153" i="25"/>
  <c r="H152" i="25"/>
  <c r="G153" i="16"/>
  <c r="H152" i="16"/>
  <c r="H151" i="10"/>
  <c r="G152" i="10"/>
  <c r="G153" i="4"/>
  <c r="H152" i="4"/>
  <c r="G154" i="60" l="1"/>
  <c r="H153" i="60"/>
  <c r="G154" i="62"/>
  <c r="H153" i="62"/>
  <c r="G154" i="61"/>
  <c r="H153" i="61"/>
  <c r="G155" i="59"/>
  <c r="H154" i="59"/>
  <c r="H157" i="69"/>
  <c r="G158" i="69"/>
  <c r="H157" i="68"/>
  <c r="G158" i="68"/>
  <c r="H157" i="67"/>
  <c r="G158" i="67"/>
  <c r="H157" i="66"/>
  <c r="G158" i="66"/>
  <c r="H157" i="65"/>
  <c r="G158" i="65"/>
  <c r="G159" i="64"/>
  <c r="H158" i="64"/>
  <c r="G157" i="63"/>
  <c r="H156" i="63"/>
  <c r="H157" i="58"/>
  <c r="G158" i="58"/>
  <c r="G159" i="57"/>
  <c r="H158" i="57"/>
  <c r="G161" i="56"/>
  <c r="H160" i="56"/>
  <c r="G111" i="54"/>
  <c r="H110" i="54"/>
  <c r="G157" i="55"/>
  <c r="H156" i="55"/>
  <c r="H157" i="53"/>
  <c r="G158" i="53"/>
  <c r="G144" i="2"/>
  <c r="H143" i="2"/>
  <c r="H154" i="28"/>
  <c r="G155" i="28"/>
  <c r="G153" i="8"/>
  <c r="H152" i="8"/>
  <c r="G145" i="3"/>
  <c r="H144" i="3"/>
  <c r="H153" i="25"/>
  <c r="G154" i="25"/>
  <c r="H153" i="16"/>
  <c r="G154" i="16"/>
  <c r="G153" i="10"/>
  <c r="H152" i="10"/>
  <c r="H153" i="4"/>
  <c r="G154" i="4"/>
  <c r="G155" i="60" l="1"/>
  <c r="H154" i="60"/>
  <c r="G155" i="62"/>
  <c r="H154" i="62"/>
  <c r="G155" i="61"/>
  <c r="H154" i="61"/>
  <c r="H155" i="59"/>
  <c r="G156" i="59"/>
  <c r="G159" i="69"/>
  <c r="H158" i="69"/>
  <c r="G159" i="68"/>
  <c r="H158" i="68"/>
  <c r="G159" i="67"/>
  <c r="H158" i="67"/>
  <c r="G159" i="66"/>
  <c r="H158" i="66"/>
  <c r="G159" i="65"/>
  <c r="H158" i="65"/>
  <c r="G160" i="64"/>
  <c r="H159" i="64"/>
  <c r="H157" i="63"/>
  <c r="G158" i="63"/>
  <c r="G159" i="58"/>
  <c r="H158" i="58"/>
  <c r="G160" i="57"/>
  <c r="H159" i="57"/>
  <c r="G162" i="56"/>
  <c r="H161" i="56"/>
  <c r="G112" i="54"/>
  <c r="H111" i="54"/>
  <c r="H157" i="55"/>
  <c r="G158" i="55"/>
  <c r="G159" i="53"/>
  <c r="H158" i="53"/>
  <c r="H144" i="2"/>
  <c r="G145" i="2"/>
  <c r="G156" i="28"/>
  <c r="H155" i="28"/>
  <c r="H153" i="8"/>
  <c r="G154" i="8"/>
  <c r="H145" i="3"/>
  <c r="G146" i="3"/>
  <c r="H154" i="25"/>
  <c r="G155" i="25"/>
  <c r="H154" i="16"/>
  <c r="G155" i="16"/>
  <c r="H153" i="10"/>
  <c r="G154" i="10"/>
  <c r="H154" i="4"/>
  <c r="G155" i="4"/>
  <c r="G156" i="60" l="1"/>
  <c r="H155" i="60"/>
  <c r="G156" i="62"/>
  <c r="H155" i="62"/>
  <c r="G156" i="61"/>
  <c r="H155" i="61"/>
  <c r="G157" i="59"/>
  <c r="H156" i="59"/>
  <c r="G160" i="69"/>
  <c r="H159" i="69"/>
  <c r="H159" i="68"/>
  <c r="G160" i="68"/>
  <c r="G160" i="67"/>
  <c r="H159" i="67"/>
  <c r="G160" i="66"/>
  <c r="H159" i="66"/>
  <c r="G160" i="65"/>
  <c r="H159" i="65"/>
  <c r="G161" i="64"/>
  <c r="H160" i="64"/>
  <c r="H158" i="63"/>
  <c r="G159" i="63"/>
  <c r="H159" i="58"/>
  <c r="G160" i="58"/>
  <c r="G161" i="57"/>
  <c r="H160" i="57"/>
  <c r="H162" i="56"/>
  <c r="G163" i="56"/>
  <c r="G113" i="54"/>
  <c r="H112" i="54"/>
  <c r="G159" i="55"/>
  <c r="H158" i="55"/>
  <c r="H159" i="53"/>
  <c r="G160" i="53"/>
  <c r="G146" i="2"/>
  <c r="H145" i="2"/>
  <c r="H156" i="28"/>
  <c r="G157" i="28"/>
  <c r="H154" i="8"/>
  <c r="G155" i="8"/>
  <c r="H146" i="3"/>
  <c r="G147" i="3"/>
  <c r="G156" i="25"/>
  <c r="H155" i="25"/>
  <c r="G156" i="16"/>
  <c r="H155" i="16"/>
  <c r="H154" i="10"/>
  <c r="G155" i="10"/>
  <c r="G156" i="4"/>
  <c r="H155" i="4"/>
  <c r="H156" i="60" l="1"/>
  <c r="G157" i="60"/>
  <c r="H156" i="62"/>
  <c r="G157" i="62"/>
  <c r="G157" i="61"/>
  <c r="H156" i="61"/>
  <c r="H157" i="59"/>
  <c r="G158" i="59"/>
  <c r="H160" i="69"/>
  <c r="G161" i="69"/>
  <c r="G161" i="68"/>
  <c r="H160" i="68"/>
  <c r="G161" i="67"/>
  <c r="H160" i="67"/>
  <c r="G161" i="66"/>
  <c r="H160" i="66"/>
  <c r="G161" i="65"/>
  <c r="H160" i="65"/>
  <c r="G162" i="64"/>
  <c r="H161" i="64"/>
  <c r="G160" i="63"/>
  <c r="H159" i="63"/>
  <c r="G161" i="58"/>
  <c r="H160" i="58"/>
  <c r="G162" i="57"/>
  <c r="H161" i="57"/>
  <c r="G164" i="56"/>
  <c r="H163" i="56"/>
  <c r="H113" i="54"/>
  <c r="G114" i="54"/>
  <c r="G160" i="55"/>
  <c r="H159" i="55"/>
  <c r="G161" i="53"/>
  <c r="H160" i="53"/>
  <c r="G147" i="2"/>
  <c r="H146" i="2"/>
  <c r="H157" i="28"/>
  <c r="G158" i="28"/>
  <c r="G156" i="8"/>
  <c r="H155" i="8"/>
  <c r="G148" i="3"/>
  <c r="H147" i="3"/>
  <c r="H156" i="25"/>
  <c r="G157" i="25"/>
  <c r="H156" i="16"/>
  <c r="G157" i="16"/>
  <c r="G156" i="10"/>
  <c r="H155" i="10"/>
  <c r="H156" i="4"/>
  <c r="G157" i="4"/>
  <c r="H157" i="60" l="1"/>
  <c r="G158" i="60"/>
  <c r="H157" i="62"/>
  <c r="G158" i="62"/>
  <c r="H157" i="61"/>
  <c r="G158" i="61"/>
  <c r="H158" i="59"/>
  <c r="G159" i="59"/>
  <c r="H161" i="69"/>
  <c r="G162" i="69"/>
  <c r="G162" i="68"/>
  <c r="H161" i="68"/>
  <c r="G162" i="67"/>
  <c r="H161" i="67"/>
  <c r="G162" i="66"/>
  <c r="H161" i="66"/>
  <c r="G162" i="65"/>
  <c r="H161" i="65"/>
  <c r="H162" i="64"/>
  <c r="G163" i="64"/>
  <c r="G161" i="63"/>
  <c r="H160" i="63"/>
  <c r="H161" i="58"/>
  <c r="G162" i="58"/>
  <c r="H162" i="57"/>
  <c r="G163" i="57"/>
  <c r="G165" i="56"/>
  <c r="H164" i="56"/>
  <c r="G115" i="54"/>
  <c r="H114" i="54"/>
  <c r="H160" i="55"/>
  <c r="G161" i="55"/>
  <c r="G162" i="53"/>
  <c r="H161" i="53"/>
  <c r="H147" i="2"/>
  <c r="G148" i="2"/>
  <c r="G159" i="28"/>
  <c r="H158" i="28"/>
  <c r="H156" i="8"/>
  <c r="G157" i="8"/>
  <c r="H148" i="3"/>
  <c r="G149" i="3"/>
  <c r="H157" i="25"/>
  <c r="G158" i="25"/>
  <c r="H157" i="16"/>
  <c r="G158" i="16"/>
  <c r="H156" i="10"/>
  <c r="G157" i="10"/>
  <c r="H157" i="4"/>
  <c r="G158" i="4"/>
  <c r="H158" i="60" l="1"/>
  <c r="G159" i="60"/>
  <c r="G159" i="62"/>
  <c r="H158" i="62"/>
  <c r="G159" i="61"/>
  <c r="H158" i="61"/>
  <c r="G160" i="59"/>
  <c r="H159" i="59"/>
  <c r="H162" i="69"/>
  <c r="G163" i="69"/>
  <c r="H162" i="68"/>
  <c r="G163" i="68"/>
  <c r="H162" i="67"/>
  <c r="G163" i="67"/>
  <c r="H162" i="66"/>
  <c r="G163" i="66"/>
  <c r="H162" i="65"/>
  <c r="G163" i="65"/>
  <c r="G164" i="64"/>
  <c r="H163" i="64"/>
  <c r="G162" i="63"/>
  <c r="H161" i="63"/>
  <c r="H162" i="58"/>
  <c r="G163" i="58"/>
  <c r="G164" i="57"/>
  <c r="H163" i="57"/>
  <c r="G166" i="56"/>
  <c r="H165" i="56"/>
  <c r="H115" i="54"/>
  <c r="G116" i="54"/>
  <c r="G162" i="55"/>
  <c r="H161" i="55"/>
  <c r="H162" i="53"/>
  <c r="G163" i="53"/>
  <c r="H148" i="2"/>
  <c r="G149" i="2"/>
  <c r="H159" i="28"/>
  <c r="G160" i="28"/>
  <c r="G158" i="8"/>
  <c r="H157" i="8"/>
  <c r="H149" i="3"/>
  <c r="G150" i="3"/>
  <c r="G159" i="25"/>
  <c r="H158" i="25"/>
  <c r="G159" i="16"/>
  <c r="H158" i="16"/>
  <c r="H157" i="10"/>
  <c r="G158" i="10"/>
  <c r="G159" i="4"/>
  <c r="H158" i="4"/>
  <c r="G160" i="60" l="1"/>
  <c r="H159" i="60"/>
  <c r="H159" i="62"/>
  <c r="G160" i="62"/>
  <c r="G160" i="61"/>
  <c r="H159" i="61"/>
  <c r="H160" i="59"/>
  <c r="G161" i="59"/>
  <c r="H163" i="69"/>
  <c r="G164" i="69"/>
  <c r="H163" i="68"/>
  <c r="G164" i="68"/>
  <c r="G164" i="67"/>
  <c r="H163" i="67"/>
  <c r="H163" i="66"/>
  <c r="G164" i="66"/>
  <c r="G164" i="65"/>
  <c r="H163" i="65"/>
  <c r="G165" i="64"/>
  <c r="H164" i="64"/>
  <c r="H162" i="63"/>
  <c r="G163" i="63"/>
  <c r="H163" i="58"/>
  <c r="G164" i="58"/>
  <c r="G165" i="57"/>
  <c r="H164" i="57"/>
  <c r="G167" i="56"/>
  <c r="H166" i="56"/>
  <c r="G117" i="54"/>
  <c r="H116" i="54"/>
  <c r="H162" i="55"/>
  <c r="G163" i="55"/>
  <c r="G164" i="53"/>
  <c r="H163" i="53"/>
  <c r="G150" i="2"/>
  <c r="H149" i="2"/>
  <c r="H160" i="28"/>
  <c r="G161" i="28"/>
  <c r="G159" i="8"/>
  <c r="H158" i="8"/>
  <c r="G151" i="3"/>
  <c r="H150" i="3"/>
  <c r="H159" i="25"/>
  <c r="G160" i="25"/>
  <c r="H159" i="16"/>
  <c r="G160" i="16"/>
  <c r="G159" i="10"/>
  <c r="H158" i="10"/>
  <c r="H159" i="4"/>
  <c r="G160" i="4"/>
  <c r="H160" i="60" l="1"/>
  <c r="G161" i="60"/>
  <c r="H160" i="62"/>
  <c r="G161" i="62"/>
  <c r="G161" i="61"/>
  <c r="H160" i="61"/>
  <c r="G162" i="59"/>
  <c r="H161" i="59"/>
  <c r="H164" i="69"/>
  <c r="G165" i="69"/>
  <c r="H164" i="68"/>
  <c r="G165" i="68"/>
  <c r="G165" i="67"/>
  <c r="H164" i="67"/>
  <c r="H164" i="66"/>
  <c r="G165" i="66"/>
  <c r="G165" i="65"/>
  <c r="H164" i="65"/>
  <c r="G166" i="64"/>
  <c r="H165" i="64"/>
  <c r="H163" i="63"/>
  <c r="G164" i="63"/>
  <c r="G165" i="58"/>
  <c r="H164" i="58"/>
  <c r="G166" i="57"/>
  <c r="H165" i="57"/>
  <c r="G168" i="56"/>
  <c r="H167" i="56"/>
  <c r="G118" i="54"/>
  <c r="H117" i="54"/>
  <c r="G164" i="55"/>
  <c r="H163" i="55"/>
  <c r="G165" i="53"/>
  <c r="H164" i="53"/>
  <c r="H150" i="2"/>
  <c r="G151" i="2"/>
  <c r="G162" i="28"/>
  <c r="H161" i="28"/>
  <c r="H159" i="8"/>
  <c r="G160" i="8"/>
  <c r="H151" i="3"/>
  <c r="G152" i="3"/>
  <c r="H160" i="25"/>
  <c r="G161" i="25"/>
  <c r="H160" i="16"/>
  <c r="G161" i="16"/>
  <c r="H159" i="10"/>
  <c r="G160" i="10"/>
  <c r="H160" i="4"/>
  <c r="G161" i="4"/>
  <c r="G162" i="60" l="1"/>
  <c r="H161" i="60"/>
  <c r="G162" i="62"/>
  <c r="H161" i="62"/>
  <c r="G162" i="61"/>
  <c r="H161" i="61"/>
  <c r="H162" i="59"/>
  <c r="G163" i="59"/>
  <c r="G166" i="69"/>
  <c r="H165" i="69"/>
  <c r="G166" i="68"/>
  <c r="H165" i="68"/>
  <c r="G166" i="67"/>
  <c r="H165" i="67"/>
  <c r="H165" i="66"/>
  <c r="G166" i="66"/>
  <c r="G166" i="65"/>
  <c r="H165" i="65"/>
  <c r="H166" i="64"/>
  <c r="G167" i="64"/>
  <c r="G165" i="63"/>
  <c r="H164" i="63"/>
  <c r="G166" i="58"/>
  <c r="H165" i="58"/>
  <c r="H166" i="57"/>
  <c r="G167" i="57"/>
  <c r="H168" i="56"/>
  <c r="G169" i="56"/>
  <c r="G119" i="54"/>
  <c r="H118" i="54"/>
  <c r="H164" i="55"/>
  <c r="G165" i="55"/>
  <c r="H165" i="53"/>
  <c r="G166" i="53"/>
  <c r="H151" i="2"/>
  <c r="G152" i="2"/>
  <c r="H162" i="28"/>
  <c r="G163" i="28"/>
  <c r="G161" i="8"/>
  <c r="H160" i="8"/>
  <c r="G153" i="3"/>
  <c r="H152" i="3"/>
  <c r="G162" i="25"/>
  <c r="H161" i="25"/>
  <c r="G162" i="16"/>
  <c r="H161" i="16"/>
  <c r="H160" i="10"/>
  <c r="G161" i="10"/>
  <c r="G162" i="4"/>
  <c r="H161" i="4"/>
  <c r="H162" i="60" l="1"/>
  <c r="G163" i="60"/>
  <c r="G163" i="62"/>
  <c r="H162" i="62"/>
  <c r="H162" i="61"/>
  <c r="G163" i="61"/>
  <c r="H163" i="59"/>
  <c r="G164" i="59"/>
  <c r="G167" i="69"/>
  <c r="H166" i="69"/>
  <c r="G167" i="68"/>
  <c r="H166" i="68"/>
  <c r="G167" i="67"/>
  <c r="H166" i="67"/>
  <c r="G167" i="66"/>
  <c r="H166" i="66"/>
  <c r="G167" i="65"/>
  <c r="H166" i="65"/>
  <c r="G168" i="64"/>
  <c r="H167" i="64"/>
  <c r="G166" i="63"/>
  <c r="H165" i="63"/>
  <c r="G167" i="58"/>
  <c r="H166" i="58"/>
  <c r="G168" i="57"/>
  <c r="H167" i="57"/>
  <c r="G170" i="56"/>
  <c r="H169" i="56"/>
  <c r="H119" i="54"/>
  <c r="G120" i="54"/>
  <c r="G166" i="55"/>
  <c r="H165" i="55"/>
  <c r="G167" i="53"/>
  <c r="H166" i="53"/>
  <c r="G153" i="2"/>
  <c r="H152" i="2"/>
  <c r="H163" i="28"/>
  <c r="G164" i="28"/>
  <c r="H161" i="8"/>
  <c r="G162" i="8"/>
  <c r="G154" i="3"/>
  <c r="H153" i="3"/>
  <c r="H162" i="25"/>
  <c r="G163" i="25"/>
  <c r="H162" i="16"/>
  <c r="G163" i="16"/>
  <c r="G162" i="10"/>
  <c r="H161" i="10"/>
  <c r="H162" i="4"/>
  <c r="G163" i="4"/>
  <c r="G164" i="60" l="1"/>
  <c r="H163" i="60"/>
  <c r="G164" i="62"/>
  <c r="H163" i="62"/>
  <c r="H163" i="61"/>
  <c r="G164" i="61"/>
  <c r="H164" i="59"/>
  <c r="G165" i="59"/>
  <c r="G168" i="69"/>
  <c r="H167" i="69"/>
  <c r="G168" i="68"/>
  <c r="H167" i="68"/>
  <c r="G168" i="67"/>
  <c r="H167" i="67"/>
  <c r="G168" i="66"/>
  <c r="H167" i="66"/>
  <c r="G168" i="65"/>
  <c r="H167" i="65"/>
  <c r="H168" i="64"/>
  <c r="G169" i="64"/>
  <c r="G167" i="63"/>
  <c r="H166" i="63"/>
  <c r="H167" i="58"/>
  <c r="G168" i="58"/>
  <c r="H168" i="57"/>
  <c r="G169" i="57"/>
  <c r="G171" i="56"/>
  <c r="H170" i="56"/>
  <c r="G121" i="54"/>
  <c r="H120" i="54"/>
  <c r="G167" i="55"/>
  <c r="H166" i="55"/>
  <c r="G168" i="53"/>
  <c r="H167" i="53"/>
  <c r="H153" i="2"/>
  <c r="G154" i="2"/>
  <c r="G165" i="28"/>
  <c r="H164" i="28"/>
  <c r="H162" i="8"/>
  <c r="G163" i="8"/>
  <c r="H154" i="3"/>
  <c r="G155" i="3"/>
  <c r="H163" i="25"/>
  <c r="G164" i="25"/>
  <c r="H163" i="16"/>
  <c r="G164" i="16"/>
  <c r="H162" i="10"/>
  <c r="G163" i="10"/>
  <c r="H163" i="4"/>
  <c r="G164" i="4"/>
  <c r="H164" i="60" l="1"/>
  <c r="G165" i="60"/>
  <c r="G165" i="62"/>
  <c r="H164" i="62"/>
  <c r="G165" i="61"/>
  <c r="H164" i="61"/>
  <c r="G166" i="59"/>
  <c r="H165" i="59"/>
  <c r="H168" i="69"/>
  <c r="G169" i="69"/>
  <c r="H168" i="68"/>
  <c r="G169" i="68"/>
  <c r="H168" i="67"/>
  <c r="G169" i="67"/>
  <c r="H168" i="66"/>
  <c r="G169" i="66"/>
  <c r="H168" i="65"/>
  <c r="G169" i="65"/>
  <c r="H169" i="64"/>
  <c r="G170" i="64"/>
  <c r="G168" i="63"/>
  <c r="H167" i="63"/>
  <c r="H168" i="58"/>
  <c r="G169" i="58"/>
  <c r="G170" i="57"/>
  <c r="H169" i="57"/>
  <c r="G172" i="56"/>
  <c r="H171" i="56"/>
  <c r="H121" i="54"/>
  <c r="G122" i="54"/>
  <c r="G168" i="55"/>
  <c r="H167" i="55"/>
  <c r="H168" i="53"/>
  <c r="G169" i="53"/>
  <c r="H154" i="2"/>
  <c r="G155" i="2"/>
  <c r="H165" i="28"/>
  <c r="G166" i="28"/>
  <c r="G164" i="8"/>
  <c r="H163" i="8"/>
  <c r="G156" i="3"/>
  <c r="H155" i="3"/>
  <c r="G165" i="25"/>
  <c r="H164" i="25"/>
  <c r="G165" i="16"/>
  <c r="H164" i="16"/>
  <c r="H163" i="10"/>
  <c r="G164" i="10"/>
  <c r="G165" i="4"/>
  <c r="H164" i="4"/>
  <c r="G166" i="60" l="1"/>
  <c r="H165" i="60"/>
  <c r="H165" i="62"/>
  <c r="G166" i="62"/>
  <c r="G166" i="61"/>
  <c r="H165" i="61"/>
  <c r="H166" i="59"/>
  <c r="G167" i="59"/>
  <c r="G170" i="69"/>
  <c r="H169" i="69"/>
  <c r="G170" i="68"/>
  <c r="H169" i="68"/>
  <c r="G170" i="67"/>
  <c r="H169" i="67"/>
  <c r="G170" i="66"/>
  <c r="H169" i="66"/>
  <c r="H169" i="65"/>
  <c r="G170" i="65"/>
  <c r="G171" i="64"/>
  <c r="H170" i="64"/>
  <c r="H168" i="63"/>
  <c r="G169" i="63"/>
  <c r="G170" i="58"/>
  <c r="H169" i="58"/>
  <c r="G171" i="57"/>
  <c r="H170" i="57"/>
  <c r="G173" i="56"/>
  <c r="H172" i="56"/>
  <c r="G123" i="54"/>
  <c r="H122" i="54"/>
  <c r="H168" i="55"/>
  <c r="G169" i="55"/>
  <c r="G170" i="53"/>
  <c r="H169" i="53"/>
  <c r="G156" i="2"/>
  <c r="H155" i="2"/>
  <c r="H166" i="28"/>
  <c r="G167" i="28"/>
  <c r="H164" i="8"/>
  <c r="G165" i="8"/>
  <c r="G157" i="3"/>
  <c r="H156" i="3"/>
  <c r="H165" i="25"/>
  <c r="G166" i="25"/>
  <c r="H165" i="16"/>
  <c r="G166" i="16"/>
  <c r="G165" i="10"/>
  <c r="H164" i="10"/>
  <c r="H165" i="4"/>
  <c r="G166" i="4"/>
  <c r="G167" i="60" l="1"/>
  <c r="H166" i="60"/>
  <c r="H166" i="62"/>
  <c r="G167" i="62"/>
  <c r="H166" i="61"/>
  <c r="G167" i="61"/>
  <c r="G168" i="59"/>
  <c r="H167" i="59"/>
  <c r="G171" i="69"/>
  <c r="H170" i="69"/>
  <c r="H170" i="68"/>
  <c r="G171" i="68"/>
  <c r="G171" i="67"/>
  <c r="H170" i="67"/>
  <c r="G171" i="66"/>
  <c r="H170" i="66"/>
  <c r="G171" i="65"/>
  <c r="H170" i="65"/>
  <c r="G172" i="64"/>
  <c r="H171" i="64"/>
  <c r="G170" i="63"/>
  <c r="H169" i="63"/>
  <c r="H170" i="58"/>
  <c r="G171" i="58"/>
  <c r="G172" i="57"/>
  <c r="H171" i="57"/>
  <c r="H173" i="56"/>
  <c r="G174" i="56"/>
  <c r="H123" i="54"/>
  <c r="G124" i="54"/>
  <c r="G170" i="55"/>
  <c r="H169" i="55"/>
  <c r="G171" i="53"/>
  <c r="H170" i="53"/>
  <c r="H156" i="2"/>
  <c r="G157" i="2"/>
  <c r="G168" i="28"/>
  <c r="H167" i="28"/>
  <c r="G166" i="8"/>
  <c r="H165" i="8"/>
  <c r="H157" i="3"/>
  <c r="G158" i="3"/>
  <c r="H166" i="25"/>
  <c r="G167" i="25"/>
  <c r="H166" i="16"/>
  <c r="G167" i="16"/>
  <c r="H165" i="10"/>
  <c r="G166" i="10"/>
  <c r="H166" i="4"/>
  <c r="G167" i="4"/>
  <c r="H167" i="60" l="1"/>
  <c r="G168" i="60"/>
  <c r="H167" i="62"/>
  <c r="G168" i="62"/>
  <c r="G168" i="61"/>
  <c r="H167" i="61"/>
  <c r="H168" i="59"/>
  <c r="G169" i="59"/>
  <c r="H171" i="69"/>
  <c r="G172" i="69"/>
  <c r="G172" i="68"/>
  <c r="H171" i="68"/>
  <c r="G172" i="67"/>
  <c r="H171" i="67"/>
  <c r="G172" i="66"/>
  <c r="H171" i="66"/>
  <c r="G172" i="65"/>
  <c r="H171" i="65"/>
  <c r="G173" i="64"/>
  <c r="H172" i="64"/>
  <c r="G171" i="63"/>
  <c r="H170" i="63"/>
  <c r="G172" i="58"/>
  <c r="H171" i="58"/>
  <c r="G173" i="57"/>
  <c r="H172" i="57"/>
  <c r="H174" i="56"/>
  <c r="G175" i="56"/>
  <c r="H124" i="54"/>
  <c r="G125" i="54"/>
  <c r="G171" i="55"/>
  <c r="H170" i="55"/>
  <c r="G172" i="53"/>
  <c r="H171" i="53"/>
  <c r="H157" i="2"/>
  <c r="G158" i="2"/>
  <c r="H168" i="28"/>
  <c r="G169" i="28"/>
  <c r="H166" i="8"/>
  <c r="G167" i="8"/>
  <c r="G159" i="3"/>
  <c r="H158" i="3"/>
  <c r="G168" i="25"/>
  <c r="H167" i="25"/>
  <c r="G168" i="16"/>
  <c r="H167" i="16"/>
  <c r="H166" i="10"/>
  <c r="G167" i="10"/>
  <c r="G168" i="4"/>
  <c r="H167" i="4"/>
  <c r="H168" i="60" l="1"/>
  <c r="G169" i="60"/>
  <c r="H168" i="62"/>
  <c r="G169" i="62"/>
  <c r="H168" i="61"/>
  <c r="G169" i="61"/>
  <c r="G170" i="59"/>
  <c r="H169" i="59"/>
  <c r="H172" i="69"/>
  <c r="G173" i="69"/>
  <c r="G173" i="68"/>
  <c r="H172" i="68"/>
  <c r="G173" i="67"/>
  <c r="H172" i="67"/>
  <c r="G173" i="66"/>
  <c r="H172" i="66"/>
  <c r="G173" i="65"/>
  <c r="H172" i="65"/>
  <c r="H173" i="64"/>
  <c r="G174" i="64"/>
  <c r="G172" i="63"/>
  <c r="H171" i="63"/>
  <c r="H172" i="58"/>
  <c r="G173" i="58"/>
  <c r="H173" i="57"/>
  <c r="G174" i="57"/>
  <c r="G176" i="56"/>
  <c r="H175" i="56"/>
  <c r="H125" i="54"/>
  <c r="G126" i="54"/>
  <c r="H171" i="55"/>
  <c r="G172" i="55"/>
  <c r="G173" i="53"/>
  <c r="H172" i="53"/>
  <c r="G159" i="2"/>
  <c r="H158" i="2"/>
  <c r="H169" i="28"/>
  <c r="G170" i="28"/>
  <c r="H167" i="8"/>
  <c r="G168" i="8"/>
  <c r="G160" i="3"/>
  <c r="H159" i="3"/>
  <c r="H168" i="25"/>
  <c r="G169" i="25"/>
  <c r="H168" i="16"/>
  <c r="G169" i="16"/>
  <c r="G168" i="10"/>
  <c r="H167" i="10"/>
  <c r="H168" i="4"/>
  <c r="G169" i="4"/>
  <c r="H169" i="60" l="1"/>
  <c r="G170" i="60"/>
  <c r="H169" i="62"/>
  <c r="G170" i="62"/>
  <c r="H169" i="61"/>
  <c r="G170" i="61"/>
  <c r="G171" i="59"/>
  <c r="H170" i="59"/>
  <c r="H173" i="69"/>
  <c r="G174" i="69"/>
  <c r="H173" i="68"/>
  <c r="G174" i="68"/>
  <c r="H173" i="67"/>
  <c r="G174" i="67"/>
  <c r="H173" i="66"/>
  <c r="G174" i="66"/>
  <c r="H173" i="65"/>
  <c r="G174" i="65"/>
  <c r="G175" i="64"/>
  <c r="H174" i="64"/>
  <c r="G173" i="63"/>
  <c r="H172" i="63"/>
  <c r="H173" i="58"/>
  <c r="G174" i="58"/>
  <c r="G175" i="57"/>
  <c r="H174" i="57"/>
  <c r="G177" i="56"/>
  <c r="H176" i="56"/>
  <c r="H126" i="54"/>
  <c r="G127" i="54"/>
  <c r="G173" i="55"/>
  <c r="H172" i="55"/>
  <c r="H173" i="53"/>
  <c r="G174" i="53"/>
  <c r="H159" i="2"/>
  <c r="G160" i="2"/>
  <c r="G171" i="28"/>
  <c r="H170" i="28"/>
  <c r="G169" i="8"/>
  <c r="H168" i="8"/>
  <c r="H160" i="3"/>
  <c r="G161" i="3"/>
  <c r="H169" i="25"/>
  <c r="G170" i="25"/>
  <c r="H169" i="16"/>
  <c r="G170" i="16"/>
  <c r="H168" i="10"/>
  <c r="G169" i="10"/>
  <c r="H169" i="4"/>
  <c r="G170" i="4"/>
  <c r="H170" i="60" l="1"/>
  <c r="G171" i="60"/>
  <c r="H170" i="62"/>
  <c r="G171" i="62"/>
  <c r="H170" i="61"/>
  <c r="G171" i="61"/>
  <c r="G172" i="59"/>
  <c r="H171" i="59"/>
  <c r="H174" i="69"/>
  <c r="G175" i="69"/>
  <c r="G175" i="68"/>
  <c r="H174" i="68"/>
  <c r="G175" i="67"/>
  <c r="H174" i="67"/>
  <c r="H174" i="66"/>
  <c r="G175" i="66"/>
  <c r="G175" i="65"/>
  <c r="H174" i="65"/>
  <c r="G176" i="64"/>
  <c r="H175" i="64"/>
  <c r="H173" i="63"/>
  <c r="G174" i="63"/>
  <c r="H174" i="58"/>
  <c r="G175" i="58"/>
  <c r="G176" i="57"/>
  <c r="H175" i="57"/>
  <c r="G178" i="56"/>
  <c r="H177" i="56"/>
  <c r="G128" i="54"/>
  <c r="H127" i="54"/>
  <c r="H173" i="55"/>
  <c r="G174" i="55"/>
  <c r="G175" i="53"/>
  <c r="H174" i="53"/>
  <c r="H160" i="2"/>
  <c r="G161" i="2"/>
  <c r="H171" i="28"/>
  <c r="G172" i="28"/>
  <c r="H169" i="8"/>
  <c r="G170" i="8"/>
  <c r="G162" i="3"/>
  <c r="H161" i="3"/>
  <c r="G171" i="25"/>
  <c r="H170" i="25"/>
  <c r="G171" i="16"/>
  <c r="H170" i="16"/>
  <c r="H169" i="10"/>
  <c r="G170" i="10"/>
  <c r="G171" i="4"/>
  <c r="H170" i="4"/>
  <c r="G172" i="60" l="1"/>
  <c r="H171" i="60"/>
  <c r="G172" i="62"/>
  <c r="H171" i="62"/>
  <c r="G172" i="61"/>
  <c r="H171" i="61"/>
  <c r="G173" i="59"/>
  <c r="H172" i="59"/>
  <c r="G176" i="69"/>
  <c r="H175" i="69"/>
  <c r="H175" i="68"/>
  <c r="G176" i="68"/>
  <c r="G176" i="67"/>
  <c r="H175" i="67"/>
  <c r="G176" i="66"/>
  <c r="H175" i="66"/>
  <c r="G176" i="65"/>
  <c r="H175" i="65"/>
  <c r="G177" i="64"/>
  <c r="H176" i="64"/>
  <c r="G175" i="63"/>
  <c r="H174" i="63"/>
  <c r="G176" i="58"/>
  <c r="H175" i="58"/>
  <c r="G177" i="57"/>
  <c r="H176" i="57"/>
  <c r="G179" i="56"/>
  <c r="H178" i="56"/>
  <c r="G129" i="54"/>
  <c r="H128" i="54"/>
  <c r="G175" i="55"/>
  <c r="H174" i="55"/>
  <c r="G176" i="53"/>
  <c r="H175" i="53"/>
  <c r="G162" i="2"/>
  <c r="H161" i="2"/>
  <c r="H172" i="28"/>
  <c r="G173" i="28"/>
  <c r="G171" i="8"/>
  <c r="H170" i="8"/>
  <c r="G163" i="3"/>
  <c r="H162" i="3"/>
  <c r="H171" i="25"/>
  <c r="G172" i="25"/>
  <c r="H171" i="16"/>
  <c r="G172" i="16"/>
  <c r="G171" i="10"/>
  <c r="H170" i="10"/>
  <c r="H171" i="4"/>
  <c r="G172" i="4"/>
  <c r="G173" i="60" l="1"/>
  <c r="H172" i="60"/>
  <c r="G173" i="62"/>
  <c r="H172" i="62"/>
  <c r="H172" i="61"/>
  <c r="G173" i="61"/>
  <c r="H173" i="59"/>
  <c r="G174" i="59"/>
  <c r="G177" i="69"/>
  <c r="H176" i="69"/>
  <c r="G177" i="68"/>
  <c r="H176" i="68"/>
  <c r="H176" i="67"/>
  <c r="G177" i="67"/>
  <c r="H176" i="66"/>
  <c r="G177" i="66"/>
  <c r="G177" i="65"/>
  <c r="H176" i="65"/>
  <c r="H177" i="64"/>
  <c r="G178" i="64"/>
  <c r="G176" i="63"/>
  <c r="H175" i="63"/>
  <c r="G177" i="58"/>
  <c r="H176" i="58"/>
  <c r="H177" i="57"/>
  <c r="G178" i="57"/>
  <c r="H179" i="56"/>
  <c r="G180" i="56"/>
  <c r="G130" i="54"/>
  <c r="H129" i="54"/>
  <c r="G176" i="55"/>
  <c r="H175" i="55"/>
  <c r="H176" i="53"/>
  <c r="G177" i="53"/>
  <c r="H162" i="2"/>
  <c r="G163" i="2"/>
  <c r="G174" i="28"/>
  <c r="H173" i="28"/>
  <c r="G172" i="8"/>
  <c r="H171" i="8"/>
  <c r="H163" i="3"/>
  <c r="G164" i="3"/>
  <c r="H172" i="25"/>
  <c r="G173" i="25"/>
  <c r="H172" i="16"/>
  <c r="G173" i="16"/>
  <c r="H171" i="10"/>
  <c r="G172" i="10"/>
  <c r="H172" i="4"/>
  <c r="G173" i="4"/>
  <c r="H173" i="60" l="1"/>
  <c r="G174" i="60"/>
  <c r="H173" i="62"/>
  <c r="G174" i="62"/>
  <c r="H173" i="61"/>
  <c r="G174" i="61"/>
  <c r="H174" i="59"/>
  <c r="G175" i="59"/>
  <c r="G178" i="69"/>
  <c r="H177" i="69"/>
  <c r="G178" i="68"/>
  <c r="H177" i="68"/>
  <c r="G178" i="67"/>
  <c r="H177" i="67"/>
  <c r="G178" i="66"/>
  <c r="H177" i="66"/>
  <c r="G178" i="65"/>
  <c r="H177" i="65"/>
  <c r="G179" i="64"/>
  <c r="H178" i="64"/>
  <c r="H176" i="63"/>
  <c r="G177" i="63"/>
  <c r="G178" i="58"/>
  <c r="H177" i="58"/>
  <c r="G179" i="57"/>
  <c r="H178" i="57"/>
  <c r="H180" i="56"/>
  <c r="G181" i="56"/>
  <c r="H130" i="54"/>
  <c r="G131" i="54"/>
  <c r="G177" i="55"/>
  <c r="H176" i="55"/>
  <c r="G178" i="53"/>
  <c r="H177" i="53"/>
  <c r="G164" i="2"/>
  <c r="H163" i="2"/>
  <c r="H174" i="28"/>
  <c r="G175" i="28"/>
  <c r="H172" i="8"/>
  <c r="G173" i="8"/>
  <c r="G165" i="3"/>
  <c r="H164" i="3"/>
  <c r="G174" i="25"/>
  <c r="H173" i="25"/>
  <c r="G174" i="16"/>
  <c r="H173" i="16"/>
  <c r="H172" i="10"/>
  <c r="G173" i="10"/>
  <c r="G174" i="4"/>
  <c r="H173" i="4"/>
  <c r="H174" i="60" l="1"/>
  <c r="G175" i="60"/>
  <c r="G175" i="62"/>
  <c r="H174" i="62"/>
  <c r="H174" i="61"/>
  <c r="G175" i="61"/>
  <c r="G176" i="59"/>
  <c r="H175" i="59"/>
  <c r="G179" i="69"/>
  <c r="H178" i="69"/>
  <c r="G179" i="68"/>
  <c r="H178" i="68"/>
  <c r="G179" i="67"/>
  <c r="H178" i="67"/>
  <c r="G179" i="66"/>
  <c r="H178" i="66"/>
  <c r="G179" i="65"/>
  <c r="H178" i="65"/>
  <c r="H179" i="64"/>
  <c r="G180" i="64"/>
  <c r="G178" i="63"/>
  <c r="H177" i="63"/>
  <c r="H178" i="58"/>
  <c r="G179" i="58"/>
  <c r="H179" i="57"/>
  <c r="G180" i="57"/>
  <c r="G182" i="56"/>
  <c r="H181" i="56"/>
  <c r="G132" i="54"/>
  <c r="H131" i="54"/>
  <c r="G178" i="55"/>
  <c r="H177" i="55"/>
  <c r="G179" i="53"/>
  <c r="H178" i="53"/>
  <c r="G165" i="2"/>
  <c r="H164" i="2"/>
  <c r="H175" i="28"/>
  <c r="G176" i="28"/>
  <c r="G174" i="8"/>
  <c r="H173" i="8"/>
  <c r="H165" i="3"/>
  <c r="G166" i="3"/>
  <c r="H174" i="25"/>
  <c r="G175" i="25"/>
  <c r="H174" i="16"/>
  <c r="G175" i="16"/>
  <c r="G174" i="10"/>
  <c r="H173" i="10"/>
  <c r="H174" i="4"/>
  <c r="G175" i="4"/>
  <c r="G176" i="60" l="1"/>
  <c r="H175" i="60"/>
  <c r="G176" i="62"/>
  <c r="H175" i="62"/>
  <c r="G176" i="61"/>
  <c r="H175" i="61"/>
  <c r="G177" i="59"/>
  <c r="H176" i="59"/>
  <c r="H179" i="69"/>
  <c r="G180" i="69"/>
  <c r="H179" i="68"/>
  <c r="G180" i="68"/>
  <c r="H179" i="67"/>
  <c r="G180" i="67"/>
  <c r="H179" i="66"/>
  <c r="G180" i="66"/>
  <c r="H179" i="65"/>
  <c r="G180" i="65"/>
  <c r="H180" i="64"/>
  <c r="G181" i="64"/>
  <c r="G179" i="63"/>
  <c r="H178" i="63"/>
  <c r="H179" i="58"/>
  <c r="G180" i="58"/>
  <c r="H180" i="57"/>
  <c r="G181" i="57"/>
  <c r="G183" i="56"/>
  <c r="H182" i="56"/>
  <c r="H132" i="54"/>
  <c r="G133" i="54"/>
  <c r="G179" i="55"/>
  <c r="H178" i="55"/>
  <c r="H179" i="53"/>
  <c r="G180" i="53"/>
  <c r="H165" i="2"/>
  <c r="G166" i="2"/>
  <c r="G177" i="28"/>
  <c r="H176" i="28"/>
  <c r="G175" i="8"/>
  <c r="H174" i="8"/>
  <c r="G167" i="3"/>
  <c r="H166" i="3"/>
  <c r="H175" i="25"/>
  <c r="G176" i="25"/>
  <c r="H175" i="16"/>
  <c r="G176" i="16"/>
  <c r="H174" i="10"/>
  <c r="G175" i="10"/>
  <c r="H175" i="4"/>
  <c r="G176" i="4"/>
  <c r="G177" i="60" l="1"/>
  <c r="H176" i="60"/>
  <c r="G177" i="62"/>
  <c r="H176" i="62"/>
  <c r="G177" i="61"/>
  <c r="H176" i="61"/>
  <c r="H177" i="59"/>
  <c r="G178" i="59"/>
  <c r="H180" i="69"/>
  <c r="G181" i="69"/>
  <c r="G181" i="68"/>
  <c r="H180" i="68"/>
  <c r="G181" i="67"/>
  <c r="H180" i="67"/>
  <c r="G181" i="66"/>
  <c r="H180" i="66"/>
  <c r="H180" i="65"/>
  <c r="G181" i="65"/>
  <c r="G182" i="64"/>
  <c r="H181" i="64"/>
  <c r="H179" i="63"/>
  <c r="G180" i="63"/>
  <c r="G181" i="58"/>
  <c r="H180" i="58"/>
  <c r="G182" i="57"/>
  <c r="H181" i="57"/>
  <c r="G184" i="56"/>
  <c r="H183" i="56"/>
  <c r="G134" i="54"/>
  <c r="H133" i="54"/>
  <c r="H179" i="55"/>
  <c r="G180" i="55"/>
  <c r="G181" i="53"/>
  <c r="H180" i="53"/>
  <c r="H166" i="2"/>
  <c r="G167" i="2"/>
  <c r="H177" i="28"/>
  <c r="G178" i="28"/>
  <c r="G176" i="8"/>
  <c r="H175" i="8"/>
  <c r="G168" i="3"/>
  <c r="H167" i="3"/>
  <c r="G177" i="25"/>
  <c r="H176" i="25"/>
  <c r="G177" i="16"/>
  <c r="H176" i="16"/>
  <c r="H175" i="10"/>
  <c r="G176" i="10"/>
  <c r="G177" i="4"/>
  <c r="H176" i="4"/>
  <c r="H177" i="60" l="1"/>
  <c r="G178" i="60"/>
  <c r="G178" i="62"/>
  <c r="H177" i="62"/>
  <c r="G178" i="61"/>
  <c r="H177" i="61"/>
  <c r="G179" i="59"/>
  <c r="H178" i="59"/>
  <c r="G182" i="69"/>
  <c r="H181" i="69"/>
  <c r="H181" i="68"/>
  <c r="G182" i="68"/>
  <c r="G182" i="67"/>
  <c r="H181" i="67"/>
  <c r="G182" i="66"/>
  <c r="H181" i="66"/>
  <c r="G182" i="65"/>
  <c r="H181" i="65"/>
  <c r="G183" i="64"/>
  <c r="H182" i="64"/>
  <c r="G181" i="63"/>
  <c r="H180" i="63"/>
  <c r="H181" i="58"/>
  <c r="G182" i="58"/>
  <c r="G183" i="57"/>
  <c r="H182" i="57"/>
  <c r="H184" i="56"/>
  <c r="G185" i="56"/>
  <c r="G135" i="54"/>
  <c r="H134" i="54"/>
  <c r="G181" i="55"/>
  <c r="H180" i="55"/>
  <c r="H181" i="53"/>
  <c r="G182" i="53"/>
  <c r="G168" i="2"/>
  <c r="H167" i="2"/>
  <c r="H178" i="28"/>
  <c r="G179" i="28"/>
  <c r="G177" i="8"/>
  <c r="H176" i="8"/>
  <c r="G169" i="3"/>
  <c r="H168" i="3"/>
  <c r="H177" i="25"/>
  <c r="G178" i="25"/>
  <c r="H177" i="16"/>
  <c r="G178" i="16"/>
  <c r="G177" i="10"/>
  <c r="H176" i="10"/>
  <c r="H177" i="4"/>
  <c r="G178" i="4"/>
  <c r="H178" i="60" l="1"/>
  <c r="G179" i="60"/>
  <c r="H178" i="62"/>
  <c r="G179" i="62"/>
  <c r="G179" i="61"/>
  <c r="H178" i="61"/>
  <c r="H179" i="59"/>
  <c r="G180" i="59"/>
  <c r="H182" i="69"/>
  <c r="G183" i="69"/>
  <c r="G183" i="68"/>
  <c r="H182" i="68"/>
  <c r="G183" i="67"/>
  <c r="H182" i="67"/>
  <c r="G183" i="66"/>
  <c r="H182" i="66"/>
  <c r="G183" i="65"/>
  <c r="H182" i="65"/>
  <c r="G184" i="64"/>
  <c r="H183" i="64"/>
  <c r="G182" i="63"/>
  <c r="H181" i="63"/>
  <c r="G183" i="58"/>
  <c r="H182" i="58"/>
  <c r="G184" i="57"/>
  <c r="H183" i="57"/>
  <c r="G186" i="56"/>
  <c r="H185" i="56"/>
  <c r="H135" i="54"/>
  <c r="G136" i="54"/>
  <c r="G182" i="55"/>
  <c r="H181" i="55"/>
  <c r="G183" i="53"/>
  <c r="H182" i="53"/>
  <c r="H168" i="2"/>
  <c r="G169" i="2"/>
  <c r="G180" i="28"/>
  <c r="H179" i="28"/>
  <c r="G178" i="8"/>
  <c r="H177" i="8"/>
  <c r="H169" i="3"/>
  <c r="G170" i="3"/>
  <c r="H178" i="25"/>
  <c r="G179" i="25"/>
  <c r="H178" i="16"/>
  <c r="G179" i="16"/>
  <c r="H177" i="10"/>
  <c r="G178" i="10"/>
  <c r="H178" i="4"/>
  <c r="G179" i="4"/>
  <c r="H179" i="60" l="1"/>
  <c r="G180" i="60"/>
  <c r="G180" i="62"/>
  <c r="H179" i="62"/>
  <c r="H179" i="61"/>
  <c r="G180" i="61"/>
  <c r="G181" i="59"/>
  <c r="H180" i="59"/>
  <c r="H183" i="69"/>
  <c r="G184" i="69"/>
  <c r="G184" i="68"/>
  <c r="H183" i="68"/>
  <c r="G184" i="67"/>
  <c r="H183" i="67"/>
  <c r="G184" i="66"/>
  <c r="H183" i="66"/>
  <c r="G184" i="65"/>
  <c r="H183" i="65"/>
  <c r="H184" i="64"/>
  <c r="G185" i="64"/>
  <c r="G183" i="63"/>
  <c r="H182" i="63"/>
  <c r="H183" i="58"/>
  <c r="G184" i="58"/>
  <c r="H184" i="57"/>
  <c r="G185" i="57"/>
  <c r="G187" i="56"/>
  <c r="H186" i="56"/>
  <c r="H136" i="54"/>
  <c r="G137" i="54"/>
  <c r="H182" i="55"/>
  <c r="G183" i="55"/>
  <c r="G184" i="53"/>
  <c r="H183" i="53"/>
  <c r="H169" i="2"/>
  <c r="G170" i="2"/>
  <c r="H180" i="28"/>
  <c r="G181" i="28"/>
  <c r="H178" i="8"/>
  <c r="G179" i="8"/>
  <c r="H170" i="3"/>
  <c r="G171" i="3"/>
  <c r="G180" i="25"/>
  <c r="H179" i="25"/>
  <c r="G180" i="16"/>
  <c r="H179" i="16"/>
  <c r="H178" i="10"/>
  <c r="G179" i="10"/>
  <c r="G180" i="4"/>
  <c r="H179" i="4"/>
  <c r="G181" i="60" l="1"/>
  <c r="H180" i="60"/>
  <c r="G181" i="62"/>
  <c r="H180" i="62"/>
  <c r="G181" i="61"/>
  <c r="H180" i="61"/>
  <c r="G182" i="59"/>
  <c r="H181" i="59"/>
  <c r="H184" i="69"/>
  <c r="G185" i="69"/>
  <c r="H184" i="68"/>
  <c r="G185" i="68"/>
  <c r="H184" i="67"/>
  <c r="G185" i="67"/>
  <c r="H184" i="66"/>
  <c r="G185" i="66"/>
  <c r="H184" i="65"/>
  <c r="G185" i="65"/>
  <c r="H185" i="64"/>
  <c r="G186" i="64"/>
  <c r="G184" i="63"/>
  <c r="H183" i="63"/>
  <c r="H184" i="58"/>
  <c r="G185" i="58"/>
  <c r="G186" i="57"/>
  <c r="H185" i="57"/>
  <c r="G188" i="56"/>
  <c r="H187" i="56"/>
  <c r="G138" i="54"/>
  <c r="H137" i="54"/>
  <c r="G184" i="55"/>
  <c r="H183" i="55"/>
  <c r="H184" i="53"/>
  <c r="G185" i="53"/>
  <c r="H170" i="2"/>
  <c r="G171" i="2"/>
  <c r="H181" i="28"/>
  <c r="G182" i="28"/>
  <c r="H179" i="8"/>
  <c r="G180" i="8"/>
  <c r="G172" i="3"/>
  <c r="H171" i="3"/>
  <c r="H180" i="25"/>
  <c r="G181" i="25"/>
  <c r="H180" i="16"/>
  <c r="G181" i="16"/>
  <c r="G180" i="10"/>
  <c r="H179" i="10"/>
  <c r="H180" i="4"/>
  <c r="G181" i="4"/>
  <c r="H181" i="60" l="1"/>
  <c r="G182" i="60"/>
  <c r="G182" i="62"/>
  <c r="H181" i="62"/>
  <c r="G182" i="61"/>
  <c r="H181" i="61"/>
  <c r="G183" i="59"/>
  <c r="H182" i="59"/>
  <c r="H185" i="69"/>
  <c r="G186" i="69"/>
  <c r="H185" i="68"/>
  <c r="G186" i="68"/>
  <c r="G186" i="67"/>
  <c r="H185" i="67"/>
  <c r="H185" i="66"/>
  <c r="G186" i="66"/>
  <c r="H185" i="65"/>
  <c r="G186" i="65"/>
  <c r="G187" i="64"/>
  <c r="H186" i="64"/>
  <c r="H184" i="63"/>
  <c r="G185" i="63"/>
  <c r="H185" i="58"/>
  <c r="G186" i="58"/>
  <c r="G187" i="57"/>
  <c r="H186" i="57"/>
  <c r="G189" i="56"/>
  <c r="H188" i="56"/>
  <c r="H138" i="54"/>
  <c r="G139" i="54"/>
  <c r="H184" i="55"/>
  <c r="G185" i="55"/>
  <c r="G186" i="53"/>
  <c r="H185" i="53"/>
  <c r="H171" i="2"/>
  <c r="G172" i="2"/>
  <c r="G183" i="28"/>
  <c r="H182" i="28"/>
  <c r="H180" i="8"/>
  <c r="G181" i="8"/>
  <c r="H172" i="3"/>
  <c r="G173" i="3"/>
  <c r="H181" i="25"/>
  <c r="G182" i="25"/>
  <c r="H181" i="16"/>
  <c r="G182" i="16"/>
  <c r="H180" i="10"/>
  <c r="G181" i="10"/>
  <c r="H181" i="4"/>
  <c r="G182" i="4"/>
  <c r="H182" i="60" l="1"/>
  <c r="G183" i="60"/>
  <c r="G183" i="62"/>
  <c r="H182" i="62"/>
  <c r="G183" i="61"/>
  <c r="H182" i="61"/>
  <c r="G184" i="59"/>
  <c r="H183" i="59"/>
  <c r="H186" i="69"/>
  <c r="G187" i="69"/>
  <c r="H186" i="68"/>
  <c r="G187" i="68"/>
  <c r="G187" i="67"/>
  <c r="H186" i="67"/>
  <c r="G187" i="66"/>
  <c r="H186" i="66"/>
  <c r="G187" i="65"/>
  <c r="H186" i="65"/>
  <c r="G188" i="64"/>
  <c r="H187" i="64"/>
  <c r="G186" i="63"/>
  <c r="H185" i="63"/>
  <c r="G187" i="58"/>
  <c r="H186" i="58"/>
  <c r="G188" i="57"/>
  <c r="H187" i="57"/>
  <c r="G190" i="56"/>
  <c r="H189" i="56"/>
  <c r="G140" i="54"/>
  <c r="H139" i="54"/>
  <c r="G186" i="55"/>
  <c r="H185" i="55"/>
  <c r="G187" i="53"/>
  <c r="H186" i="53"/>
  <c r="H172" i="2"/>
  <c r="G173" i="2"/>
  <c r="H183" i="28"/>
  <c r="G184" i="28"/>
  <c r="H181" i="8"/>
  <c r="G182" i="8"/>
  <c r="G174" i="3"/>
  <c r="H173" i="3"/>
  <c r="G183" i="25"/>
  <c r="H182" i="25"/>
  <c r="G183" i="16"/>
  <c r="H182" i="16"/>
  <c r="H181" i="10"/>
  <c r="G182" i="10"/>
  <c r="G183" i="4"/>
  <c r="H182" i="4"/>
  <c r="G184" i="60" l="1"/>
  <c r="H183" i="60"/>
  <c r="G184" i="62"/>
  <c r="H183" i="62"/>
  <c r="G184" i="61"/>
  <c r="H183" i="61"/>
  <c r="H184" i="59"/>
  <c r="G185" i="59"/>
  <c r="G188" i="69"/>
  <c r="H187" i="69"/>
  <c r="G188" i="68"/>
  <c r="H187" i="68"/>
  <c r="G188" i="67"/>
  <c r="H187" i="67"/>
  <c r="H187" i="66"/>
  <c r="G188" i="66"/>
  <c r="G188" i="65"/>
  <c r="H187" i="65"/>
  <c r="H188" i="64"/>
  <c r="G189" i="64"/>
  <c r="G187" i="63"/>
  <c r="H186" i="63"/>
  <c r="G188" i="58"/>
  <c r="H187" i="58"/>
  <c r="H188" i="57"/>
  <c r="G189" i="57"/>
  <c r="H190" i="56"/>
  <c r="G191" i="56"/>
  <c r="H140" i="54"/>
  <c r="G141" i="54"/>
  <c r="G187" i="55"/>
  <c r="H186" i="55"/>
  <c r="H187" i="53"/>
  <c r="G188" i="53"/>
  <c r="H173" i="2"/>
  <c r="G174" i="2"/>
  <c r="H184" i="28"/>
  <c r="G185" i="28"/>
  <c r="G183" i="8"/>
  <c r="H182" i="8"/>
  <c r="G175" i="3"/>
  <c r="H174" i="3"/>
  <c r="H183" i="25"/>
  <c r="G184" i="25"/>
  <c r="H183" i="16"/>
  <c r="G184" i="16"/>
  <c r="G183" i="10"/>
  <c r="H182" i="10"/>
  <c r="H183" i="4"/>
  <c r="G184" i="4"/>
  <c r="H184" i="60" l="1"/>
  <c r="G185" i="60"/>
  <c r="H184" i="62"/>
  <c r="G185" i="62"/>
  <c r="H184" i="61"/>
  <c r="G185" i="61"/>
  <c r="H185" i="59"/>
  <c r="G186" i="59"/>
  <c r="G189" i="69"/>
  <c r="H188" i="69"/>
  <c r="G189" i="68"/>
  <c r="H188" i="68"/>
  <c r="G189" i="67"/>
  <c r="H188" i="67"/>
  <c r="G189" i="66"/>
  <c r="H188" i="66"/>
  <c r="G189" i="65"/>
  <c r="H188" i="65"/>
  <c r="G190" i="64"/>
  <c r="H189" i="64"/>
  <c r="G188" i="63"/>
  <c r="H187" i="63"/>
  <c r="G189" i="58"/>
  <c r="H188" i="58"/>
  <c r="G190" i="57"/>
  <c r="H189" i="57"/>
  <c r="H191" i="56"/>
  <c r="G192" i="56"/>
  <c r="H141" i="54"/>
  <c r="G142" i="54"/>
  <c r="G188" i="55"/>
  <c r="H187" i="55"/>
  <c r="G189" i="53"/>
  <c r="H188" i="53"/>
  <c r="H174" i="2"/>
  <c r="G175" i="2"/>
  <c r="G186" i="28"/>
  <c r="H185" i="28"/>
  <c r="G184" i="8"/>
  <c r="H183" i="8"/>
  <c r="G176" i="3"/>
  <c r="H175" i="3"/>
  <c r="H184" i="25"/>
  <c r="G185" i="25"/>
  <c r="H184" i="16"/>
  <c r="G185" i="16"/>
  <c r="H183" i="10"/>
  <c r="G184" i="10"/>
  <c r="H184" i="4"/>
  <c r="G185" i="4"/>
  <c r="G186" i="60" l="1"/>
  <c r="H185" i="60"/>
  <c r="G186" i="62"/>
  <c r="H185" i="62"/>
  <c r="H185" i="61"/>
  <c r="G186" i="61"/>
  <c r="G187" i="59"/>
  <c r="H186" i="59"/>
  <c r="G190" i="69"/>
  <c r="H189" i="69"/>
  <c r="G190" i="68"/>
  <c r="H189" i="68"/>
  <c r="G190" i="67"/>
  <c r="H189" i="67"/>
  <c r="G190" i="66"/>
  <c r="H189" i="66"/>
  <c r="G190" i="65"/>
  <c r="H189" i="65"/>
  <c r="H190" i="64"/>
  <c r="G191" i="64"/>
  <c r="G189" i="63"/>
  <c r="H188" i="63"/>
  <c r="H189" i="58"/>
  <c r="G190" i="58"/>
  <c r="H190" i="57"/>
  <c r="G191" i="57"/>
  <c r="G193" i="56"/>
  <c r="H192" i="56"/>
  <c r="G143" i="54"/>
  <c r="H142" i="54"/>
  <c r="G189" i="55"/>
  <c r="H188" i="55"/>
  <c r="G190" i="53"/>
  <c r="H189" i="53"/>
  <c r="H175" i="2"/>
  <c r="G176" i="2"/>
  <c r="H186" i="28"/>
  <c r="G187" i="28"/>
  <c r="H184" i="8"/>
  <c r="G185" i="8"/>
  <c r="H176" i="3"/>
  <c r="G177" i="3"/>
  <c r="G186" i="25"/>
  <c r="H185" i="25"/>
  <c r="G186" i="16"/>
  <c r="H185" i="16"/>
  <c r="H184" i="10"/>
  <c r="G185" i="10"/>
  <c r="G186" i="4"/>
  <c r="H185" i="4"/>
  <c r="H186" i="60" l="1"/>
  <c r="G187" i="60"/>
  <c r="G187" i="62"/>
  <c r="H186" i="62"/>
  <c r="G187" i="61"/>
  <c r="H186" i="61"/>
  <c r="G188" i="59"/>
  <c r="H187" i="59"/>
  <c r="H190" i="69"/>
  <c r="G191" i="69"/>
  <c r="H190" i="68"/>
  <c r="G191" i="68"/>
  <c r="H190" i="67"/>
  <c r="G191" i="67"/>
  <c r="H190" i="66"/>
  <c r="G191" i="66"/>
  <c r="H190" i="65"/>
  <c r="G191" i="65"/>
  <c r="H191" i="64"/>
  <c r="G192" i="64"/>
  <c r="G190" i="63"/>
  <c r="H189" i="63"/>
  <c r="H190" i="58"/>
  <c r="G191" i="58"/>
  <c r="G192" i="57"/>
  <c r="H191" i="57"/>
  <c r="G194" i="56"/>
  <c r="H193" i="56"/>
  <c r="G144" i="54"/>
  <c r="H143" i="54"/>
  <c r="G190" i="55"/>
  <c r="H189" i="55"/>
  <c r="H190" i="53"/>
  <c r="G191" i="53"/>
  <c r="G177" i="2"/>
  <c r="H176" i="2"/>
  <c r="H187" i="28"/>
  <c r="G188" i="28"/>
  <c r="G186" i="8"/>
  <c r="H185" i="8"/>
  <c r="H177" i="3"/>
  <c r="G178" i="3"/>
  <c r="H186" i="25"/>
  <c r="G187" i="25"/>
  <c r="H186" i="16"/>
  <c r="G187" i="16"/>
  <c r="G186" i="10"/>
  <c r="H185" i="10"/>
  <c r="H186" i="4"/>
  <c r="G187" i="4"/>
  <c r="G188" i="60" l="1"/>
  <c r="H187" i="60"/>
  <c r="H187" i="62"/>
  <c r="G188" i="62"/>
  <c r="H187" i="61"/>
  <c r="G188" i="61"/>
  <c r="H188" i="59"/>
  <c r="G189" i="59"/>
  <c r="G192" i="69"/>
  <c r="H191" i="69"/>
  <c r="G192" i="68"/>
  <c r="H191" i="68"/>
  <c r="G192" i="67"/>
  <c r="H191" i="67"/>
  <c r="G192" i="66"/>
  <c r="H191" i="66"/>
  <c r="G192" i="65"/>
  <c r="H191" i="65"/>
  <c r="G193" i="64"/>
  <c r="H192" i="64"/>
  <c r="H190" i="63"/>
  <c r="G191" i="63"/>
  <c r="G192" i="58"/>
  <c r="H191" i="58"/>
  <c r="G193" i="57"/>
  <c r="H192" i="57"/>
  <c r="G195" i="56"/>
  <c r="H194" i="56"/>
  <c r="H144" i="54"/>
  <c r="G145" i="54"/>
  <c r="H190" i="55"/>
  <c r="G191" i="55"/>
  <c r="G192" i="53"/>
  <c r="H191" i="53"/>
  <c r="H177" i="2"/>
  <c r="G178" i="2"/>
  <c r="G189" i="28"/>
  <c r="H188" i="28"/>
  <c r="H186" i="8"/>
  <c r="G187" i="8"/>
  <c r="H178" i="3"/>
  <c r="G179" i="3"/>
  <c r="H187" i="25"/>
  <c r="G188" i="25"/>
  <c r="H187" i="16"/>
  <c r="G188" i="16"/>
  <c r="H186" i="10"/>
  <c r="G187" i="10"/>
  <c r="H187" i="4"/>
  <c r="G188" i="4"/>
  <c r="H188" i="60" l="1"/>
  <c r="G189" i="60"/>
  <c r="H188" i="62"/>
  <c r="G189" i="62"/>
  <c r="G189" i="61"/>
  <c r="H188" i="61"/>
  <c r="G190" i="59"/>
  <c r="H189" i="59"/>
  <c r="G193" i="69"/>
  <c r="H192" i="69"/>
  <c r="H192" i="68"/>
  <c r="G193" i="68"/>
  <c r="G193" i="67"/>
  <c r="H192" i="67"/>
  <c r="G193" i="66"/>
  <c r="H192" i="66"/>
  <c r="G193" i="65"/>
  <c r="H192" i="65"/>
  <c r="G194" i="64"/>
  <c r="H193" i="64"/>
  <c r="G192" i="63"/>
  <c r="H191" i="63"/>
  <c r="H192" i="58"/>
  <c r="G193" i="58"/>
  <c r="G194" i="57"/>
  <c r="H193" i="57"/>
  <c r="H195" i="56"/>
  <c r="G196" i="56"/>
  <c r="H145" i="54"/>
  <c r="G146" i="54"/>
  <c r="G192" i="55"/>
  <c r="H191" i="55"/>
  <c r="G193" i="53"/>
  <c r="H192" i="53"/>
  <c r="H178" i="2"/>
  <c r="G179" i="2"/>
  <c r="H189" i="28"/>
  <c r="G190" i="28"/>
  <c r="G188" i="8"/>
  <c r="H187" i="8"/>
  <c r="H179" i="3"/>
  <c r="G180" i="3"/>
  <c r="G189" i="25"/>
  <c r="H188" i="25"/>
  <c r="G189" i="16"/>
  <c r="H188" i="16"/>
  <c r="H187" i="10"/>
  <c r="G188" i="10"/>
  <c r="G189" i="4"/>
  <c r="H188" i="4"/>
  <c r="H189" i="60" l="1"/>
  <c r="G190" i="60"/>
  <c r="G190" i="62"/>
  <c r="H189" i="62"/>
  <c r="G190" i="61"/>
  <c r="H189" i="61"/>
  <c r="H190" i="59"/>
  <c r="G191" i="59"/>
  <c r="H193" i="69"/>
  <c r="G194" i="69"/>
  <c r="G194" i="68"/>
  <c r="H193" i="68"/>
  <c r="G194" i="67"/>
  <c r="H193" i="67"/>
  <c r="G194" i="66"/>
  <c r="H193" i="66"/>
  <c r="G194" i="65"/>
  <c r="H193" i="65"/>
  <c r="G195" i="64"/>
  <c r="H194" i="64"/>
  <c r="G193" i="63"/>
  <c r="H192" i="63"/>
  <c r="G194" i="58"/>
  <c r="H193" i="58"/>
  <c r="G195" i="57"/>
  <c r="H194" i="57"/>
  <c r="H196" i="56"/>
  <c r="G197" i="56"/>
  <c r="H146" i="54"/>
  <c r="G147" i="54"/>
  <c r="G193" i="55"/>
  <c r="H192" i="55"/>
  <c r="G194" i="53"/>
  <c r="H193" i="53"/>
  <c r="G180" i="2"/>
  <c r="H179" i="2"/>
  <c r="H190" i="28"/>
  <c r="G191" i="28"/>
  <c r="H188" i="8"/>
  <c r="G189" i="8"/>
  <c r="G181" i="3"/>
  <c r="H180" i="3"/>
  <c r="H189" i="25"/>
  <c r="G190" i="25"/>
  <c r="H189" i="16"/>
  <c r="G190" i="16"/>
  <c r="G189" i="10"/>
  <c r="H188" i="10"/>
  <c r="H189" i="4"/>
  <c r="G190" i="4"/>
  <c r="H190" i="60" l="1"/>
  <c r="G191" i="60"/>
  <c r="G191" i="62"/>
  <c r="H190" i="62"/>
  <c r="H190" i="61"/>
  <c r="G191" i="61"/>
  <c r="G192" i="59"/>
  <c r="H191" i="59"/>
  <c r="H194" i="69"/>
  <c r="G195" i="69"/>
  <c r="G195" i="68"/>
  <c r="H194" i="68"/>
  <c r="G195" i="67"/>
  <c r="H194" i="67"/>
  <c r="G195" i="66"/>
  <c r="H194" i="66"/>
  <c r="G195" i="65"/>
  <c r="H194" i="65"/>
  <c r="H195" i="64"/>
  <c r="G196" i="64"/>
  <c r="G194" i="63"/>
  <c r="H193" i="63"/>
  <c r="H194" i="58"/>
  <c r="G195" i="58"/>
  <c r="H195" i="57"/>
  <c r="G196" i="57"/>
  <c r="G198" i="56"/>
  <c r="H197" i="56"/>
  <c r="H147" i="54"/>
  <c r="G148" i="54"/>
  <c r="H193" i="55"/>
  <c r="G194" i="55"/>
  <c r="G195" i="53"/>
  <c r="H194" i="53"/>
  <c r="H180" i="2"/>
  <c r="G181" i="2"/>
  <c r="G192" i="28"/>
  <c r="H191" i="28"/>
  <c r="G190" i="8"/>
  <c r="H189" i="8"/>
  <c r="H181" i="3"/>
  <c r="G182" i="3"/>
  <c r="H190" i="25"/>
  <c r="G191" i="25"/>
  <c r="H190" i="16"/>
  <c r="G191" i="16"/>
  <c r="H189" i="10"/>
  <c r="G190" i="10"/>
  <c r="H190" i="4"/>
  <c r="G191" i="4"/>
  <c r="H191" i="60" l="1"/>
  <c r="G192" i="60"/>
  <c r="G192" i="62"/>
  <c r="H191" i="62"/>
  <c r="H191" i="61"/>
  <c r="G192" i="61"/>
  <c r="G193" i="59"/>
  <c r="H192" i="59"/>
  <c r="H195" i="69"/>
  <c r="G196" i="69"/>
  <c r="H195" i="68"/>
  <c r="G196" i="68"/>
  <c r="H195" i="67"/>
  <c r="G196" i="67"/>
  <c r="H195" i="66"/>
  <c r="G196" i="66"/>
  <c r="H195" i="65"/>
  <c r="G196" i="65"/>
  <c r="H196" i="64"/>
  <c r="G197" i="64"/>
  <c r="G195" i="63"/>
  <c r="H194" i="63"/>
  <c r="H195" i="58"/>
  <c r="G196" i="58"/>
  <c r="H196" i="57"/>
  <c r="G197" i="57"/>
  <c r="G199" i="56"/>
  <c r="H198" i="56"/>
  <c r="H148" i="54"/>
  <c r="G149" i="54"/>
  <c r="G195" i="55"/>
  <c r="H194" i="55"/>
  <c r="H195" i="53"/>
  <c r="G196" i="53"/>
  <c r="H181" i="2"/>
  <c r="G182" i="2"/>
  <c r="H192" i="28"/>
  <c r="G193" i="28"/>
  <c r="H190" i="8"/>
  <c r="G191" i="8"/>
  <c r="G183" i="3"/>
  <c r="H182" i="3"/>
  <c r="G192" i="25"/>
  <c r="H191" i="25"/>
  <c r="G192" i="16"/>
  <c r="H191" i="16"/>
  <c r="H190" i="10"/>
  <c r="G191" i="10"/>
  <c r="G192" i="4"/>
  <c r="H191" i="4"/>
  <c r="G193" i="60" l="1"/>
  <c r="H192" i="60"/>
  <c r="H192" i="62"/>
  <c r="G193" i="62"/>
  <c r="G193" i="61"/>
  <c r="H192" i="61"/>
  <c r="G194" i="59"/>
  <c r="H193" i="59"/>
  <c r="H196" i="69"/>
  <c r="G197" i="69"/>
  <c r="G197" i="68"/>
  <c r="H196" i="68"/>
  <c r="G197" i="67"/>
  <c r="H196" i="67"/>
  <c r="H196" i="66"/>
  <c r="G197" i="66"/>
  <c r="H196" i="65"/>
  <c r="G197" i="65"/>
  <c r="G198" i="64"/>
  <c r="H197" i="64"/>
  <c r="H195" i="63"/>
  <c r="G196" i="63"/>
  <c r="H196" i="58"/>
  <c r="G197" i="58"/>
  <c r="G198" i="57"/>
  <c r="H197" i="57"/>
  <c r="G200" i="56"/>
  <c r="H199" i="56"/>
  <c r="H149" i="54"/>
  <c r="G150" i="54"/>
  <c r="H195" i="55"/>
  <c r="G196" i="55"/>
  <c r="H196" i="53"/>
  <c r="G197" i="53"/>
  <c r="G183" i="2"/>
  <c r="H182" i="2"/>
  <c r="H193" i="28"/>
  <c r="G194" i="28"/>
  <c r="H191" i="8"/>
  <c r="G192" i="8"/>
  <c r="H183" i="3"/>
  <c r="G184" i="3"/>
  <c r="H192" i="25"/>
  <c r="G193" i="25"/>
  <c r="H192" i="16"/>
  <c r="G193" i="16"/>
  <c r="G192" i="10"/>
  <c r="H191" i="10"/>
  <c r="H192" i="4"/>
  <c r="G193" i="4"/>
  <c r="H193" i="60" l="1"/>
  <c r="G194" i="60"/>
  <c r="H193" i="62"/>
  <c r="G194" i="62"/>
  <c r="G194" i="61"/>
  <c r="H193" i="61"/>
  <c r="G195" i="59"/>
  <c r="H194" i="59"/>
  <c r="G198" i="69"/>
  <c r="H197" i="69"/>
  <c r="H197" i="68"/>
  <c r="G198" i="68"/>
  <c r="G198" i="67"/>
  <c r="H197" i="67"/>
  <c r="G198" i="66"/>
  <c r="H197" i="66"/>
  <c r="G198" i="65"/>
  <c r="H197" i="65"/>
  <c r="G199" i="64"/>
  <c r="H198" i="64"/>
  <c r="G197" i="63"/>
  <c r="H196" i="63"/>
  <c r="G198" i="58"/>
  <c r="H197" i="58"/>
  <c r="G199" i="57"/>
  <c r="H198" i="57"/>
  <c r="G201" i="56"/>
  <c r="H200" i="56"/>
  <c r="H150" i="54"/>
  <c r="G151" i="54"/>
  <c r="G197" i="55"/>
  <c r="H196" i="55"/>
  <c r="G198" i="53"/>
  <c r="H197" i="53"/>
  <c r="H183" i="2"/>
  <c r="G184" i="2"/>
  <c r="G195" i="28"/>
  <c r="H194" i="28"/>
  <c r="G193" i="8"/>
  <c r="H192" i="8"/>
  <c r="H184" i="3"/>
  <c r="G185" i="3"/>
  <c r="H193" i="25"/>
  <c r="G194" i="25"/>
  <c r="H193" i="16"/>
  <c r="G194" i="16"/>
  <c r="H192" i="10"/>
  <c r="G193" i="10"/>
  <c r="H193" i="4"/>
  <c r="G194" i="4"/>
  <c r="H194" i="60" l="1"/>
  <c r="G195" i="60"/>
  <c r="G195" i="62"/>
  <c r="H194" i="62"/>
  <c r="G195" i="61"/>
  <c r="H194" i="61"/>
  <c r="H195" i="59"/>
  <c r="G196" i="59"/>
  <c r="G199" i="69"/>
  <c r="H198" i="69"/>
  <c r="G199" i="68"/>
  <c r="H198" i="68"/>
  <c r="G199" i="67"/>
  <c r="H198" i="67"/>
  <c r="H198" i="66"/>
  <c r="G199" i="66"/>
  <c r="G199" i="65"/>
  <c r="H198" i="65"/>
  <c r="H199" i="64"/>
  <c r="G200" i="64"/>
  <c r="G198" i="63"/>
  <c r="H197" i="63"/>
  <c r="G199" i="58"/>
  <c r="H198" i="58"/>
  <c r="H199" i="57"/>
  <c r="G200" i="57"/>
  <c r="H201" i="56"/>
  <c r="G202" i="56"/>
  <c r="H151" i="54"/>
  <c r="G152" i="54"/>
  <c r="H197" i="55"/>
  <c r="G198" i="55"/>
  <c r="H198" i="53"/>
  <c r="G199" i="53"/>
  <c r="H184" i="2"/>
  <c r="G185" i="2"/>
  <c r="H195" i="28"/>
  <c r="G196" i="28"/>
  <c r="H193" i="8"/>
  <c r="G194" i="8"/>
  <c r="H185" i="3"/>
  <c r="G186" i="3"/>
  <c r="G195" i="25"/>
  <c r="H194" i="25"/>
  <c r="G195" i="16"/>
  <c r="H194" i="16"/>
  <c r="H193" i="10"/>
  <c r="G194" i="10"/>
  <c r="G195" i="4"/>
  <c r="H194" i="4"/>
  <c r="G196" i="60" l="1"/>
  <c r="H195" i="60"/>
  <c r="H195" i="62"/>
  <c r="G196" i="62"/>
  <c r="H195" i="61"/>
  <c r="G196" i="61"/>
  <c r="H196" i="59"/>
  <c r="G197" i="59"/>
  <c r="G200" i="69"/>
  <c r="H199" i="69"/>
  <c r="H199" i="68"/>
  <c r="G200" i="68"/>
  <c r="G200" i="67"/>
  <c r="H199" i="67"/>
  <c r="G200" i="66"/>
  <c r="H199" i="66"/>
  <c r="G200" i="65"/>
  <c r="H199" i="65"/>
  <c r="G201" i="64"/>
  <c r="H200" i="64"/>
  <c r="G199" i="63"/>
  <c r="H198" i="63"/>
  <c r="G200" i="58"/>
  <c r="H199" i="58"/>
  <c r="G201" i="57"/>
  <c r="H200" i="57"/>
  <c r="G203" i="56"/>
  <c r="H202" i="56"/>
  <c r="H152" i="54"/>
  <c r="G153" i="54"/>
  <c r="G199" i="55"/>
  <c r="H198" i="55"/>
  <c r="G200" i="53"/>
  <c r="H199" i="53"/>
  <c r="G186" i="2"/>
  <c r="H185" i="2"/>
  <c r="H196" i="28"/>
  <c r="G197" i="28"/>
  <c r="H194" i="8"/>
  <c r="G195" i="8"/>
  <c r="G187" i="3"/>
  <c r="H186" i="3"/>
  <c r="H195" i="25"/>
  <c r="G196" i="25"/>
  <c r="H195" i="16"/>
  <c r="G196" i="16"/>
  <c r="G195" i="10"/>
  <c r="H194" i="10"/>
  <c r="H195" i="4"/>
  <c r="G196" i="4"/>
  <c r="G197" i="60" l="1"/>
  <c r="H196" i="60"/>
  <c r="G197" i="62"/>
  <c r="H196" i="62"/>
  <c r="H196" i="61"/>
  <c r="G197" i="61"/>
  <c r="G198" i="59"/>
  <c r="H197" i="59"/>
  <c r="G201" i="69"/>
  <c r="H200" i="69"/>
  <c r="G201" i="68"/>
  <c r="H200" i="68"/>
  <c r="G201" i="67"/>
  <c r="H200" i="67"/>
  <c r="G201" i="66"/>
  <c r="H200" i="66"/>
  <c r="G201" i="65"/>
  <c r="H200" i="65"/>
  <c r="H201" i="64"/>
  <c r="G202" i="64"/>
  <c r="G200" i="63"/>
  <c r="H199" i="63"/>
  <c r="H200" i="58"/>
  <c r="G201" i="58"/>
  <c r="H201" i="57"/>
  <c r="G202" i="57"/>
  <c r="G204" i="56"/>
  <c r="H203" i="56"/>
  <c r="H153" i="54"/>
  <c r="G154" i="54"/>
  <c r="G200" i="55"/>
  <c r="H199" i="55"/>
  <c r="G201" i="53"/>
  <c r="H200" i="53"/>
  <c r="H186" i="2"/>
  <c r="G187" i="2"/>
  <c r="G198" i="28"/>
  <c r="H197" i="28"/>
  <c r="H195" i="8"/>
  <c r="G196" i="8"/>
  <c r="H187" i="3"/>
  <c r="G188" i="3"/>
  <c r="H196" i="25"/>
  <c r="G197" i="25"/>
  <c r="H196" i="16"/>
  <c r="G197" i="16"/>
  <c r="H195" i="10"/>
  <c r="G196" i="10"/>
  <c r="H196" i="4"/>
  <c r="G197" i="4"/>
  <c r="G198" i="60" l="1"/>
  <c r="H197" i="60"/>
  <c r="G198" i="62"/>
  <c r="H197" i="62"/>
  <c r="G198" i="61"/>
  <c r="H197" i="61"/>
  <c r="G199" i="59"/>
  <c r="H198" i="59"/>
  <c r="H201" i="69"/>
  <c r="G202" i="69"/>
  <c r="H201" i="68"/>
  <c r="G202" i="68"/>
  <c r="H201" i="67"/>
  <c r="G202" i="67"/>
  <c r="H201" i="66"/>
  <c r="G202" i="66"/>
  <c r="H201" i="65"/>
  <c r="G202" i="65"/>
  <c r="G203" i="64"/>
  <c r="H202" i="64"/>
  <c r="G201" i="63"/>
  <c r="H200" i="63"/>
  <c r="H201" i="58"/>
  <c r="G202" i="58"/>
  <c r="G203" i="57"/>
  <c r="H202" i="57"/>
  <c r="G205" i="56"/>
  <c r="H204" i="56"/>
  <c r="H154" i="54"/>
  <c r="G155" i="54"/>
  <c r="G201" i="55"/>
  <c r="H200" i="55"/>
  <c r="H201" i="53"/>
  <c r="G202" i="53"/>
  <c r="H187" i="2"/>
  <c r="G188" i="2"/>
  <c r="H198" i="28"/>
  <c r="G199" i="28"/>
  <c r="H196" i="8"/>
  <c r="G197" i="8"/>
  <c r="G189" i="3"/>
  <c r="H188" i="3"/>
  <c r="G198" i="25"/>
  <c r="H197" i="25"/>
  <c r="G198" i="16"/>
  <c r="H197" i="16"/>
  <c r="H196" i="10"/>
  <c r="G197" i="10"/>
  <c r="G198" i="4"/>
  <c r="H197" i="4"/>
  <c r="G199" i="60" l="1"/>
  <c r="H198" i="60"/>
  <c r="G199" i="62"/>
  <c r="H198" i="62"/>
  <c r="G199" i="61"/>
  <c r="H198" i="61"/>
  <c r="H199" i="59"/>
  <c r="G200" i="59"/>
  <c r="H202" i="69"/>
  <c r="G203" i="69"/>
  <c r="G203" i="68"/>
  <c r="H202" i="68"/>
  <c r="H202" i="67"/>
  <c r="G203" i="67"/>
  <c r="H202" i="66"/>
  <c r="G203" i="66"/>
  <c r="H202" i="65"/>
  <c r="G203" i="65"/>
  <c r="G204" i="64"/>
  <c r="H203" i="64"/>
  <c r="H201" i="63"/>
  <c r="G202" i="63"/>
  <c r="G203" i="58"/>
  <c r="H202" i="58"/>
  <c r="G204" i="57"/>
  <c r="H203" i="57"/>
  <c r="G206" i="56"/>
  <c r="H205" i="56"/>
  <c r="G156" i="54"/>
  <c r="H155" i="54"/>
  <c r="H201" i="55"/>
  <c r="G202" i="55"/>
  <c r="G203" i="53"/>
  <c r="H202" i="53"/>
  <c r="G189" i="2"/>
  <c r="H188" i="2"/>
  <c r="H199" i="28"/>
  <c r="G200" i="28"/>
  <c r="H197" i="8"/>
  <c r="G198" i="8"/>
  <c r="H189" i="3"/>
  <c r="G190" i="3"/>
  <c r="H198" i="25"/>
  <c r="G199" i="25"/>
  <c r="H198" i="16"/>
  <c r="G199" i="16"/>
  <c r="G198" i="10"/>
  <c r="H197" i="10"/>
  <c r="H198" i="4"/>
  <c r="G199" i="4"/>
  <c r="G200" i="60" l="1"/>
  <c r="H199" i="60"/>
  <c r="G200" i="62"/>
  <c r="H199" i="62"/>
  <c r="G200" i="61"/>
  <c r="H199" i="61"/>
  <c r="G201" i="59"/>
  <c r="H200" i="59"/>
  <c r="G204" i="69"/>
  <c r="H203" i="69"/>
  <c r="H203" i="68"/>
  <c r="G204" i="68"/>
  <c r="G204" i="67"/>
  <c r="H203" i="67"/>
  <c r="G204" i="66"/>
  <c r="H203" i="66"/>
  <c r="G204" i="65"/>
  <c r="H203" i="65"/>
  <c r="G205" i="64"/>
  <c r="H204" i="64"/>
  <c r="G203" i="63"/>
  <c r="H202" i="63"/>
  <c r="H203" i="58"/>
  <c r="G204" i="58"/>
  <c r="G205" i="57"/>
  <c r="H204" i="57"/>
  <c r="H206" i="56"/>
  <c r="G207" i="56"/>
  <c r="G157" i="54"/>
  <c r="H156" i="54"/>
  <c r="H202" i="55"/>
  <c r="G203" i="55"/>
  <c r="H203" i="53"/>
  <c r="G204" i="53"/>
  <c r="H189" i="2"/>
  <c r="G190" i="2"/>
  <c r="G201" i="28"/>
  <c r="H200" i="28"/>
  <c r="H198" i="8"/>
  <c r="G199" i="8"/>
  <c r="H190" i="3"/>
  <c r="G191" i="3"/>
  <c r="H199" i="25"/>
  <c r="G200" i="25"/>
  <c r="H199" i="16"/>
  <c r="G200" i="16"/>
  <c r="H198" i="10"/>
  <c r="G199" i="10"/>
  <c r="H199" i="4"/>
  <c r="G200" i="4"/>
  <c r="H200" i="60" l="1"/>
  <c r="G201" i="60"/>
  <c r="G201" i="62"/>
  <c r="H200" i="62"/>
  <c r="G201" i="61"/>
  <c r="H200" i="61"/>
  <c r="H201" i="59"/>
  <c r="G202" i="59"/>
  <c r="H204" i="69"/>
  <c r="G205" i="69"/>
  <c r="G205" i="68"/>
  <c r="H204" i="68"/>
  <c r="G205" i="67"/>
  <c r="H204" i="67"/>
  <c r="G205" i="66"/>
  <c r="H204" i="66"/>
  <c r="G205" i="65"/>
  <c r="H204" i="65"/>
  <c r="G206" i="64"/>
  <c r="H205" i="64"/>
  <c r="H203" i="63"/>
  <c r="G204" i="63"/>
  <c r="G205" i="58"/>
  <c r="H204" i="58"/>
  <c r="G206" i="57"/>
  <c r="H205" i="57"/>
  <c r="G208" i="56"/>
  <c r="H207" i="56"/>
  <c r="H157" i="54"/>
  <c r="G158" i="54"/>
  <c r="G204" i="55"/>
  <c r="H203" i="55"/>
  <c r="G205" i="53"/>
  <c r="H204" i="53"/>
  <c r="H190" i="2"/>
  <c r="G191" i="2"/>
  <c r="H201" i="28"/>
  <c r="G202" i="28"/>
  <c r="G200" i="8"/>
  <c r="H199" i="8"/>
  <c r="H191" i="3"/>
  <c r="G192" i="3"/>
  <c r="G201" i="25"/>
  <c r="H200" i="25"/>
  <c r="G201" i="16"/>
  <c r="H200" i="16"/>
  <c r="H199" i="10"/>
  <c r="G200" i="10"/>
  <c r="G201" i="4"/>
  <c r="H200" i="4"/>
  <c r="H201" i="60" l="1"/>
  <c r="G202" i="60"/>
  <c r="H201" i="62"/>
  <c r="G202" i="62"/>
  <c r="H201" i="61"/>
  <c r="G202" i="61"/>
  <c r="H202" i="59"/>
  <c r="G203" i="59"/>
  <c r="H205" i="69"/>
  <c r="G206" i="69"/>
  <c r="G206" i="68"/>
  <c r="H205" i="68"/>
  <c r="G206" i="67"/>
  <c r="H205" i="67"/>
  <c r="G206" i="66"/>
  <c r="H205" i="66"/>
  <c r="G206" i="65"/>
  <c r="H205" i="65"/>
  <c r="H206" i="64"/>
  <c r="G207" i="64"/>
  <c r="G205" i="63"/>
  <c r="H204" i="63"/>
  <c r="H205" i="58"/>
  <c r="G206" i="58"/>
  <c r="H206" i="57"/>
  <c r="G207" i="57"/>
  <c r="G209" i="56"/>
  <c r="H208" i="56"/>
  <c r="G159" i="54"/>
  <c r="H158" i="54"/>
  <c r="H204" i="55"/>
  <c r="G205" i="55"/>
  <c r="G206" i="53"/>
  <c r="H205" i="53"/>
  <c r="G192" i="2"/>
  <c r="H191" i="2"/>
  <c r="H202" i="28"/>
  <c r="G203" i="28"/>
  <c r="G201" i="8"/>
  <c r="H200" i="8"/>
  <c r="G193" i="3"/>
  <c r="H192" i="3"/>
  <c r="H201" i="25"/>
  <c r="G202" i="25"/>
  <c r="H201" i="16"/>
  <c r="G202" i="16"/>
  <c r="G201" i="10"/>
  <c r="H200" i="10"/>
  <c r="H201" i="4"/>
  <c r="G202" i="4"/>
  <c r="H202" i="60" l="1"/>
  <c r="G203" i="60"/>
  <c r="H202" i="62"/>
  <c r="G203" i="62"/>
  <c r="H202" i="61"/>
  <c r="G203" i="61"/>
  <c r="H203" i="59"/>
  <c r="G204" i="59"/>
  <c r="H206" i="69"/>
  <c r="G207" i="69"/>
  <c r="H206" i="68"/>
  <c r="G207" i="68"/>
  <c r="H206" i="67"/>
  <c r="G207" i="67"/>
  <c r="H206" i="66"/>
  <c r="G207" i="66"/>
  <c r="H206" i="65"/>
  <c r="G207" i="65"/>
  <c r="H207" i="64"/>
  <c r="G208" i="64"/>
  <c r="G206" i="63"/>
  <c r="H205" i="63"/>
  <c r="H206" i="58"/>
  <c r="G207" i="58"/>
  <c r="G208" i="57"/>
  <c r="H207" i="57"/>
  <c r="G210" i="56"/>
  <c r="H209" i="56"/>
  <c r="G160" i="54"/>
  <c r="H159" i="54"/>
  <c r="G206" i="55"/>
  <c r="H205" i="55"/>
  <c r="H206" i="53"/>
  <c r="G207" i="53"/>
  <c r="G193" i="2"/>
  <c r="H192" i="2"/>
  <c r="G204" i="28"/>
  <c r="H203" i="28"/>
  <c r="G202" i="8"/>
  <c r="H201" i="8"/>
  <c r="H193" i="3"/>
  <c r="G194" i="3"/>
  <c r="H202" i="25"/>
  <c r="G203" i="25"/>
  <c r="H202" i="16"/>
  <c r="G203" i="16"/>
  <c r="H201" i="10"/>
  <c r="G202" i="10"/>
  <c r="H202" i="4"/>
  <c r="G203" i="4"/>
  <c r="G204" i="60" l="1"/>
  <c r="H203" i="60"/>
  <c r="G204" i="62"/>
  <c r="H203" i="62"/>
  <c r="G204" i="61"/>
  <c r="H203" i="61"/>
  <c r="G205" i="59"/>
  <c r="H204" i="59"/>
  <c r="H207" i="69"/>
  <c r="G208" i="69"/>
  <c r="G208" i="68"/>
  <c r="H207" i="68"/>
  <c r="G208" i="67"/>
  <c r="H207" i="67"/>
  <c r="H207" i="66"/>
  <c r="G208" i="66"/>
  <c r="G208" i="65"/>
  <c r="H207" i="65"/>
  <c r="G209" i="64"/>
  <c r="H208" i="64"/>
  <c r="H206" i="63"/>
  <c r="G207" i="63"/>
  <c r="H207" i="58"/>
  <c r="G208" i="58"/>
  <c r="G209" i="57"/>
  <c r="H208" i="57"/>
  <c r="G211" i="56"/>
  <c r="H210" i="56"/>
  <c r="G161" i="54"/>
  <c r="H160" i="54"/>
  <c r="H206" i="55"/>
  <c r="G207" i="55"/>
  <c r="G208" i="53"/>
  <c r="H207" i="53"/>
  <c r="H193" i="2"/>
  <c r="G194" i="2"/>
  <c r="H204" i="28"/>
  <c r="G205" i="28"/>
  <c r="G203" i="8"/>
  <c r="H202" i="8"/>
  <c r="G195" i="3"/>
  <c r="H194" i="3"/>
  <c r="G204" i="25"/>
  <c r="H203" i="25"/>
  <c r="G204" i="16"/>
  <c r="H203" i="16"/>
  <c r="H202" i="10"/>
  <c r="G203" i="10"/>
  <c r="G204" i="4"/>
  <c r="H203" i="4"/>
  <c r="H204" i="60" l="1"/>
  <c r="G205" i="60"/>
  <c r="H204" i="62"/>
  <c r="G205" i="62"/>
  <c r="G205" i="61"/>
  <c r="H204" i="61"/>
  <c r="G206" i="59"/>
  <c r="H205" i="59"/>
  <c r="G209" i="69"/>
  <c r="H208" i="69"/>
  <c r="H208" i="68"/>
  <c r="G209" i="68"/>
  <c r="G209" i="67"/>
  <c r="H208" i="67"/>
  <c r="G209" i="66"/>
  <c r="H208" i="66"/>
  <c r="G209" i="65"/>
  <c r="H208" i="65"/>
  <c r="G210" i="64"/>
  <c r="H209" i="64"/>
  <c r="G208" i="63"/>
  <c r="H207" i="63"/>
  <c r="G209" i="58"/>
  <c r="H208" i="58"/>
  <c r="G210" i="57"/>
  <c r="H209" i="57"/>
  <c r="G212" i="56"/>
  <c r="H211" i="56"/>
  <c r="G162" i="54"/>
  <c r="H161" i="54"/>
  <c r="G208" i="55"/>
  <c r="H207" i="55"/>
  <c r="G209" i="53"/>
  <c r="H208" i="53"/>
  <c r="H194" i="2"/>
  <c r="G195" i="2"/>
  <c r="H205" i="28"/>
  <c r="G206" i="28"/>
  <c r="G204" i="8"/>
  <c r="H203" i="8"/>
  <c r="G196" i="3"/>
  <c r="H195" i="3"/>
  <c r="H204" i="25"/>
  <c r="G205" i="25"/>
  <c r="H204" i="16"/>
  <c r="G205" i="16"/>
  <c r="G204" i="10"/>
  <c r="H203" i="10"/>
  <c r="H204" i="4"/>
  <c r="G205" i="4"/>
  <c r="G206" i="60" l="1"/>
  <c r="H205" i="60"/>
  <c r="G206" i="62"/>
  <c r="H205" i="62"/>
  <c r="G206" i="61"/>
  <c r="H205" i="61"/>
  <c r="H206" i="59"/>
  <c r="G207" i="59"/>
  <c r="G210" i="69"/>
  <c r="H209" i="69"/>
  <c r="G210" i="68"/>
  <c r="H209" i="68"/>
  <c r="H209" i="67"/>
  <c r="G210" i="67"/>
  <c r="H209" i="66"/>
  <c r="G210" i="66"/>
  <c r="G210" i="65"/>
  <c r="H209" i="65"/>
  <c r="H210" i="64"/>
  <c r="G211" i="64"/>
  <c r="G209" i="63"/>
  <c r="H208" i="63"/>
  <c r="G210" i="58"/>
  <c r="H209" i="58"/>
  <c r="H210" i="57"/>
  <c r="G211" i="57"/>
  <c r="H212" i="56"/>
  <c r="G213" i="56"/>
  <c r="H162" i="54"/>
  <c r="G163" i="54"/>
  <c r="G209" i="55"/>
  <c r="H208" i="55"/>
  <c r="H209" i="53"/>
  <c r="G210" i="53"/>
  <c r="H195" i="2"/>
  <c r="G196" i="2"/>
  <c r="G207" i="28"/>
  <c r="H206" i="28"/>
  <c r="H204" i="8"/>
  <c r="G205" i="8"/>
  <c r="H196" i="3"/>
  <c r="G197" i="3"/>
  <c r="H205" i="25"/>
  <c r="G206" i="25"/>
  <c r="H205" i="16"/>
  <c r="G206" i="16"/>
  <c r="H204" i="10"/>
  <c r="G205" i="10"/>
  <c r="H205" i="4"/>
  <c r="G206" i="4"/>
  <c r="H206" i="60" l="1"/>
  <c r="G207" i="60"/>
  <c r="H206" i="62"/>
  <c r="G207" i="62"/>
  <c r="H206" i="61"/>
  <c r="G207" i="61"/>
  <c r="H207" i="59"/>
  <c r="G208" i="59"/>
  <c r="G211" i="69"/>
  <c r="H210" i="69"/>
  <c r="G211" i="68"/>
  <c r="H210" i="68"/>
  <c r="G211" i="67"/>
  <c r="H210" i="67"/>
  <c r="G211" i="66"/>
  <c r="H210" i="66"/>
  <c r="G211" i="65"/>
  <c r="H210" i="65"/>
  <c r="G212" i="64"/>
  <c r="H211" i="64"/>
  <c r="G210" i="63"/>
  <c r="H209" i="63"/>
  <c r="G211" i="58"/>
  <c r="H210" i="58"/>
  <c r="G212" i="57"/>
  <c r="H211" i="57"/>
  <c r="G214" i="56"/>
  <c r="H213" i="56"/>
  <c r="H163" i="54"/>
  <c r="G164" i="54"/>
  <c r="G210" i="55"/>
  <c r="H209" i="55"/>
  <c r="G211" i="53"/>
  <c r="H210" i="53"/>
  <c r="G197" i="2"/>
  <c r="H196" i="2"/>
  <c r="H207" i="28"/>
  <c r="G208" i="28"/>
  <c r="H205" i="8"/>
  <c r="G206" i="8"/>
  <c r="H197" i="3"/>
  <c r="G198" i="3"/>
  <c r="G207" i="25"/>
  <c r="H206" i="25"/>
  <c r="G207" i="16"/>
  <c r="H206" i="16"/>
  <c r="H205" i="10"/>
  <c r="G206" i="10"/>
  <c r="G207" i="4"/>
  <c r="H206" i="4"/>
  <c r="H207" i="60" l="1"/>
  <c r="G208" i="60"/>
  <c r="G208" i="62"/>
  <c r="H207" i="62"/>
  <c r="H207" i="61"/>
  <c r="G208" i="61"/>
  <c r="G209" i="59"/>
  <c r="H208" i="59"/>
  <c r="G212" i="69"/>
  <c r="H211" i="69"/>
  <c r="G212" i="68"/>
  <c r="H211" i="68"/>
  <c r="G212" i="67"/>
  <c r="H211" i="67"/>
  <c r="G212" i="66"/>
  <c r="H211" i="66"/>
  <c r="G212" i="65"/>
  <c r="H211" i="65"/>
  <c r="H212" i="64"/>
  <c r="G213" i="64"/>
  <c r="G211" i="63"/>
  <c r="H210" i="63"/>
  <c r="H211" i="58"/>
  <c r="G212" i="58"/>
  <c r="H212" i="57"/>
  <c r="G213" i="57"/>
  <c r="G215" i="56"/>
  <c r="H214" i="56"/>
  <c r="G165" i="54"/>
  <c r="H164" i="54"/>
  <c r="G211" i="55"/>
  <c r="H210" i="55"/>
  <c r="G212" i="53"/>
  <c r="H211" i="53"/>
  <c r="G198" i="2"/>
  <c r="H197" i="2"/>
  <c r="H208" i="28"/>
  <c r="G209" i="28"/>
  <c r="H206" i="8"/>
  <c r="G207" i="8"/>
  <c r="G199" i="3"/>
  <c r="H198" i="3"/>
  <c r="H207" i="25"/>
  <c r="G208" i="25"/>
  <c r="H207" i="16"/>
  <c r="G208" i="16"/>
  <c r="G207" i="10"/>
  <c r="H206" i="10"/>
  <c r="H207" i="4"/>
  <c r="G208" i="4"/>
  <c r="H208" i="60" l="1"/>
  <c r="G209" i="60"/>
  <c r="G209" i="62"/>
  <c r="H208" i="62"/>
  <c r="G209" i="61"/>
  <c r="H208" i="61"/>
  <c r="G210" i="59"/>
  <c r="H209" i="59"/>
  <c r="H212" i="69"/>
  <c r="G213" i="69"/>
  <c r="H212" i="68"/>
  <c r="G213" i="68"/>
  <c r="H212" i="67"/>
  <c r="G213" i="67"/>
  <c r="H212" i="66"/>
  <c r="G213" i="66"/>
  <c r="H212" i="65"/>
  <c r="G213" i="65"/>
  <c r="G214" i="64"/>
  <c r="H213" i="64"/>
  <c r="G212" i="63"/>
  <c r="H211" i="63"/>
  <c r="H212" i="58"/>
  <c r="G213" i="58"/>
  <c r="G214" i="57"/>
  <c r="H213" i="57"/>
  <c r="G216" i="56"/>
  <c r="H215" i="56"/>
  <c r="H165" i="54"/>
  <c r="G166" i="54"/>
  <c r="G212" i="55"/>
  <c r="H211" i="55"/>
  <c r="H212" i="53"/>
  <c r="G213" i="53"/>
  <c r="G199" i="2"/>
  <c r="H198" i="2"/>
  <c r="G210" i="28"/>
  <c r="H209" i="28"/>
  <c r="G208" i="8"/>
  <c r="H207" i="8"/>
  <c r="H199" i="3"/>
  <c r="G200" i="3"/>
  <c r="H208" i="25"/>
  <c r="G209" i="25"/>
  <c r="H208" i="16"/>
  <c r="G209" i="16"/>
  <c r="H207" i="10"/>
  <c r="G208" i="10"/>
  <c r="H208" i="4"/>
  <c r="G209" i="4"/>
  <c r="G210" i="60" l="1"/>
  <c r="H209" i="60"/>
  <c r="G210" i="62"/>
  <c r="H209" i="62"/>
  <c r="G210" i="61"/>
  <c r="H209" i="61"/>
  <c r="H210" i="59"/>
  <c r="G211" i="59"/>
  <c r="G214" i="69"/>
  <c r="H213" i="69"/>
  <c r="G214" i="68"/>
  <c r="H213" i="68"/>
  <c r="H213" i="67"/>
  <c r="G214" i="67"/>
  <c r="H213" i="66"/>
  <c r="G214" i="66"/>
  <c r="H213" i="65"/>
  <c r="G214" i="65"/>
  <c r="H214" i="64"/>
  <c r="G215" i="64"/>
  <c r="H212" i="63"/>
  <c r="G213" i="63"/>
  <c r="G214" i="58"/>
  <c r="H213" i="58"/>
  <c r="G215" i="57"/>
  <c r="H214" i="57"/>
  <c r="G217" i="56"/>
  <c r="H216" i="56"/>
  <c r="H166" i="54"/>
  <c r="G167" i="54"/>
  <c r="H212" i="55"/>
  <c r="G213" i="55"/>
  <c r="G214" i="53"/>
  <c r="H213" i="53"/>
  <c r="H199" i="2"/>
  <c r="G200" i="2"/>
  <c r="H210" i="28"/>
  <c r="G211" i="28"/>
  <c r="H208" i="8"/>
  <c r="G209" i="8"/>
  <c r="G201" i="3"/>
  <c r="H200" i="3"/>
  <c r="G210" i="25"/>
  <c r="H209" i="25"/>
  <c r="G210" i="16"/>
  <c r="H209" i="16"/>
  <c r="H208" i="10"/>
  <c r="G209" i="10"/>
  <c r="G210" i="4"/>
  <c r="H209" i="4"/>
  <c r="G211" i="60" l="1"/>
  <c r="H210" i="60"/>
  <c r="G211" i="62"/>
  <c r="H210" i="62"/>
  <c r="G211" i="61"/>
  <c r="H210" i="61"/>
  <c r="G212" i="59"/>
  <c r="H211" i="59"/>
  <c r="G215" i="69"/>
  <c r="H214" i="69"/>
  <c r="H214" i="68"/>
  <c r="G215" i="68"/>
  <c r="G215" i="67"/>
  <c r="H214" i="67"/>
  <c r="G215" i="66"/>
  <c r="H214" i="66"/>
  <c r="G215" i="65"/>
  <c r="H214" i="65"/>
  <c r="G216" i="64"/>
  <c r="H215" i="64"/>
  <c r="G214" i="63"/>
  <c r="H213" i="63"/>
  <c r="H214" i="58"/>
  <c r="G215" i="58"/>
  <c r="G216" i="57"/>
  <c r="H215" i="57"/>
  <c r="H217" i="56"/>
  <c r="G218" i="56"/>
  <c r="H167" i="54"/>
  <c r="G168" i="54"/>
  <c r="G214" i="55"/>
  <c r="H213" i="55"/>
  <c r="H214" i="53"/>
  <c r="G215" i="53"/>
  <c r="G201" i="2"/>
  <c r="H200" i="2"/>
  <c r="H211" i="28"/>
  <c r="G212" i="28"/>
  <c r="G210" i="8"/>
  <c r="H209" i="8"/>
  <c r="H201" i="3"/>
  <c r="G202" i="3"/>
  <c r="H210" i="25"/>
  <c r="G211" i="25"/>
  <c r="H210" i="16"/>
  <c r="G211" i="16"/>
  <c r="G210" i="10"/>
  <c r="H209" i="10"/>
  <c r="H210" i="4"/>
  <c r="G211" i="4"/>
  <c r="G212" i="60" l="1"/>
  <c r="H211" i="60"/>
  <c r="G212" i="62"/>
  <c r="H211" i="62"/>
  <c r="G212" i="61"/>
  <c r="H211" i="61"/>
  <c r="H212" i="59"/>
  <c r="G213" i="59"/>
  <c r="H215" i="69"/>
  <c r="G216" i="69"/>
  <c r="G216" i="68"/>
  <c r="H215" i="68"/>
  <c r="G216" i="67"/>
  <c r="H215" i="67"/>
  <c r="G216" i="66"/>
  <c r="H215" i="66"/>
  <c r="G216" i="65"/>
  <c r="H215" i="65"/>
  <c r="G217" i="64"/>
  <c r="H216" i="64"/>
  <c r="G215" i="63"/>
  <c r="H214" i="63"/>
  <c r="G216" i="58"/>
  <c r="H215" i="58"/>
  <c r="G217" i="57"/>
  <c r="H216" i="57"/>
  <c r="G219" i="56"/>
  <c r="H218" i="56"/>
  <c r="H168" i="54"/>
  <c r="G169" i="54"/>
  <c r="G215" i="55"/>
  <c r="H214" i="55"/>
  <c r="G216" i="53"/>
  <c r="H215" i="53"/>
  <c r="H201" i="2"/>
  <c r="G202" i="2"/>
  <c r="G213" i="28"/>
  <c r="H212" i="28"/>
  <c r="H210" i="8"/>
  <c r="G211" i="8"/>
  <c r="G203" i="3"/>
  <c r="H202" i="3"/>
  <c r="H211" i="25"/>
  <c r="G212" i="25"/>
  <c r="H211" i="16"/>
  <c r="G212" i="16"/>
  <c r="H210" i="10"/>
  <c r="G211" i="10"/>
  <c r="H211" i="4"/>
  <c r="G212" i="4"/>
  <c r="G213" i="60" l="1"/>
  <c r="H212" i="60"/>
  <c r="H212" i="62"/>
  <c r="G213" i="62"/>
  <c r="H212" i="61"/>
  <c r="G213" i="61"/>
  <c r="G214" i="59"/>
  <c r="H213" i="59"/>
  <c r="H216" i="69"/>
  <c r="G217" i="69"/>
  <c r="G217" i="68"/>
  <c r="H216" i="68"/>
  <c r="G217" i="67"/>
  <c r="H216" i="67"/>
  <c r="G217" i="66"/>
  <c r="H216" i="66"/>
  <c r="G217" i="65"/>
  <c r="H216" i="65"/>
  <c r="H217" i="64"/>
  <c r="G218" i="64"/>
  <c r="G216" i="63"/>
  <c r="H215" i="63"/>
  <c r="H216" i="58"/>
  <c r="G217" i="58"/>
  <c r="H217" i="57"/>
  <c r="G218" i="57"/>
  <c r="G220" i="56"/>
  <c r="H219" i="56"/>
  <c r="G170" i="54"/>
  <c r="H169" i="54"/>
  <c r="H215" i="55"/>
  <c r="G216" i="55"/>
  <c r="G217" i="53"/>
  <c r="H216" i="53"/>
  <c r="H202" i="2"/>
  <c r="G203" i="2"/>
  <c r="H213" i="28"/>
  <c r="G214" i="28"/>
  <c r="G212" i="8"/>
  <c r="H211" i="8"/>
  <c r="H203" i="3"/>
  <c r="G204" i="3"/>
  <c r="G213" i="25"/>
  <c r="H212" i="25"/>
  <c r="G213" i="16"/>
  <c r="H212" i="16"/>
  <c r="H211" i="10"/>
  <c r="G212" i="10"/>
  <c r="G213" i="4"/>
  <c r="H212" i="4"/>
  <c r="G214" i="60" l="1"/>
  <c r="H213" i="60"/>
  <c r="H213" i="62"/>
  <c r="G214" i="62"/>
  <c r="H213" i="61"/>
  <c r="G214" i="61"/>
  <c r="G215" i="59"/>
  <c r="H214" i="59"/>
  <c r="H217" i="69"/>
  <c r="G218" i="69"/>
  <c r="H217" i="68"/>
  <c r="G218" i="68"/>
  <c r="H217" i="67"/>
  <c r="G218" i="67"/>
  <c r="H217" i="66"/>
  <c r="G218" i="66"/>
  <c r="H217" i="65"/>
  <c r="G218" i="65"/>
  <c r="G219" i="64"/>
  <c r="H218" i="64"/>
  <c r="G217" i="63"/>
  <c r="H216" i="63"/>
  <c r="H217" i="58"/>
  <c r="G218" i="58"/>
  <c r="H218" i="57"/>
  <c r="G219" i="57"/>
  <c r="G221" i="56"/>
  <c r="H220" i="56"/>
  <c r="G171" i="54"/>
  <c r="H170" i="54"/>
  <c r="G217" i="55"/>
  <c r="H216" i="55"/>
  <c r="H217" i="53"/>
  <c r="G218" i="53"/>
  <c r="G204" i="2"/>
  <c r="H203" i="2"/>
  <c r="H214" i="28"/>
  <c r="G215" i="28"/>
  <c r="H212" i="8"/>
  <c r="G213" i="8"/>
  <c r="H204" i="3"/>
  <c r="G205" i="3"/>
  <c r="H213" i="25"/>
  <c r="G214" i="25"/>
  <c r="H213" i="16"/>
  <c r="G214" i="16"/>
  <c r="G213" i="10"/>
  <c r="H212" i="10"/>
  <c r="H213" i="4"/>
  <c r="G214" i="4"/>
  <c r="G215" i="60" l="1"/>
  <c r="H214" i="60"/>
  <c r="G215" i="62"/>
  <c r="H214" i="62"/>
  <c r="H214" i="61"/>
  <c r="G215" i="61"/>
  <c r="G216" i="59"/>
  <c r="H215" i="59"/>
  <c r="H218" i="69"/>
  <c r="G219" i="69"/>
  <c r="G219" i="68"/>
  <c r="H218" i="68"/>
  <c r="H218" i="67"/>
  <c r="G219" i="67"/>
  <c r="H218" i="66"/>
  <c r="G219" i="66"/>
  <c r="H218" i="65"/>
  <c r="G219" i="65"/>
  <c r="G220" i="64"/>
  <c r="H219" i="64"/>
  <c r="H217" i="63"/>
  <c r="G218" i="63"/>
  <c r="H218" i="58"/>
  <c r="G219" i="58"/>
  <c r="G220" i="57"/>
  <c r="H219" i="57"/>
  <c r="G222" i="56"/>
  <c r="H221" i="56"/>
  <c r="G172" i="54"/>
  <c r="H171" i="54"/>
  <c r="H217" i="55"/>
  <c r="G218" i="55"/>
  <c r="G219" i="53"/>
  <c r="H218" i="53"/>
  <c r="H204" i="2"/>
  <c r="G205" i="2"/>
  <c r="G216" i="28"/>
  <c r="H215" i="28"/>
  <c r="G214" i="8"/>
  <c r="H213" i="8"/>
  <c r="H205" i="3"/>
  <c r="G206" i="3"/>
  <c r="H214" i="25"/>
  <c r="G215" i="25"/>
  <c r="H214" i="16"/>
  <c r="G215" i="16"/>
  <c r="H213" i="10"/>
  <c r="G214" i="10"/>
  <c r="H214" i="4"/>
  <c r="G215" i="4"/>
  <c r="G216" i="60" l="1"/>
  <c r="H215" i="60"/>
  <c r="G216" i="62"/>
  <c r="H215" i="62"/>
  <c r="G216" i="61"/>
  <c r="H215" i="61"/>
  <c r="G217" i="59"/>
  <c r="H216" i="59"/>
  <c r="G220" i="69"/>
  <c r="H219" i="69"/>
  <c r="H219" i="68"/>
  <c r="G220" i="68"/>
  <c r="G220" i="67"/>
  <c r="H219" i="67"/>
  <c r="H219" i="66"/>
  <c r="G220" i="66"/>
  <c r="G220" i="65"/>
  <c r="H219" i="65"/>
  <c r="G221" i="64"/>
  <c r="H220" i="64"/>
  <c r="G219" i="63"/>
  <c r="H218" i="63"/>
  <c r="G220" i="58"/>
  <c r="H219" i="58"/>
  <c r="G221" i="57"/>
  <c r="H220" i="57"/>
  <c r="G223" i="56"/>
  <c r="H222" i="56"/>
  <c r="G173" i="54"/>
  <c r="H172" i="54"/>
  <c r="G219" i="55"/>
  <c r="H218" i="55"/>
  <c r="G220" i="53"/>
  <c r="H219" i="53"/>
  <c r="H205" i="2"/>
  <c r="G206" i="2"/>
  <c r="H216" i="28"/>
  <c r="G217" i="28"/>
  <c r="H214" i="8"/>
  <c r="G215" i="8"/>
  <c r="H206" i="3"/>
  <c r="G207" i="3"/>
  <c r="G216" i="25"/>
  <c r="H215" i="25"/>
  <c r="G216" i="16"/>
  <c r="H215" i="16"/>
  <c r="H214" i="10"/>
  <c r="G215" i="10"/>
  <c r="G216" i="4"/>
  <c r="H215" i="4"/>
  <c r="H216" i="60" l="1"/>
  <c r="G217" i="60"/>
  <c r="G217" i="62"/>
  <c r="H216" i="62"/>
  <c r="G217" i="61"/>
  <c r="H216" i="61"/>
  <c r="H217" i="59"/>
  <c r="G218" i="59"/>
  <c r="G221" i="69"/>
  <c r="H220" i="69"/>
  <c r="G221" i="68"/>
  <c r="H220" i="68"/>
  <c r="H220" i="67"/>
  <c r="G221" i="67"/>
  <c r="H220" i="66"/>
  <c r="G221" i="66"/>
  <c r="G221" i="65"/>
  <c r="H220" i="65"/>
  <c r="H221" i="64"/>
  <c r="G222" i="64"/>
  <c r="H219" i="63"/>
  <c r="G220" i="63"/>
  <c r="G221" i="58"/>
  <c r="H220" i="58"/>
  <c r="H221" i="57"/>
  <c r="G222" i="57"/>
  <c r="H223" i="56"/>
  <c r="G224" i="56"/>
  <c r="G174" i="54"/>
  <c r="H173" i="54"/>
  <c r="H219" i="55"/>
  <c r="G220" i="55"/>
  <c r="H220" i="53"/>
  <c r="G221" i="53"/>
  <c r="H206" i="2"/>
  <c r="G207" i="2"/>
  <c r="H217" i="28"/>
  <c r="G218" i="28"/>
  <c r="H215" i="8"/>
  <c r="G216" i="8"/>
  <c r="H207" i="3"/>
  <c r="G208" i="3"/>
  <c r="H216" i="25"/>
  <c r="G217" i="25"/>
  <c r="H216" i="16"/>
  <c r="G217" i="16"/>
  <c r="G216" i="10"/>
  <c r="H215" i="10"/>
  <c r="H216" i="4"/>
  <c r="G217" i="4"/>
  <c r="H217" i="60" l="1"/>
  <c r="G218" i="60"/>
  <c r="G218" i="62"/>
  <c r="H217" i="62"/>
  <c r="G218" i="61"/>
  <c r="H217" i="61"/>
  <c r="H218" i="59"/>
  <c r="G219" i="59"/>
  <c r="G222" i="69"/>
  <c r="H221" i="69"/>
  <c r="G222" i="68"/>
  <c r="H221" i="68"/>
  <c r="G222" i="67"/>
  <c r="H221" i="67"/>
  <c r="G222" i="66"/>
  <c r="H221" i="66"/>
  <c r="G222" i="65"/>
  <c r="H221" i="65"/>
  <c r="G223" i="64"/>
  <c r="H222" i="64"/>
  <c r="G221" i="63"/>
  <c r="H220" i="63"/>
  <c r="G222" i="58"/>
  <c r="H221" i="58"/>
  <c r="G223" i="57"/>
  <c r="H222" i="57"/>
  <c r="G225" i="56"/>
  <c r="H224" i="56"/>
  <c r="G175" i="54"/>
  <c r="H174" i="54"/>
  <c r="G221" i="55"/>
  <c r="H220" i="55"/>
  <c r="G222" i="53"/>
  <c r="H221" i="53"/>
  <c r="H207" i="2"/>
  <c r="G208" i="2"/>
  <c r="G219" i="28"/>
  <c r="H218" i="28"/>
  <c r="H216" i="8"/>
  <c r="G217" i="8"/>
  <c r="H208" i="3"/>
  <c r="G209" i="3"/>
  <c r="H217" i="25"/>
  <c r="G218" i="25"/>
  <c r="H217" i="16"/>
  <c r="G218" i="16"/>
  <c r="H216" i="10"/>
  <c r="G217" i="10"/>
  <c r="H217" i="4"/>
  <c r="G218" i="4"/>
  <c r="G219" i="60" l="1"/>
  <c r="H218" i="60"/>
  <c r="H218" i="62"/>
  <c r="G219" i="62"/>
  <c r="H218" i="61"/>
  <c r="G219" i="61"/>
  <c r="G220" i="59"/>
  <c r="H219" i="59"/>
  <c r="G223" i="69"/>
  <c r="H222" i="69"/>
  <c r="G223" i="68"/>
  <c r="H222" i="68"/>
  <c r="G223" i="67"/>
  <c r="H222" i="67"/>
  <c r="G223" i="66"/>
  <c r="H222" i="66"/>
  <c r="G223" i="65"/>
  <c r="H222" i="65"/>
  <c r="H223" i="64"/>
  <c r="G224" i="64"/>
  <c r="G222" i="63"/>
  <c r="H221" i="63"/>
  <c r="H222" i="58"/>
  <c r="G223" i="58"/>
  <c r="H223" i="57"/>
  <c r="G224" i="57"/>
  <c r="G226" i="56"/>
  <c r="H225" i="56"/>
  <c r="H175" i="54"/>
  <c r="G176" i="54"/>
  <c r="G222" i="55"/>
  <c r="H221" i="55"/>
  <c r="G223" i="53"/>
  <c r="H222" i="53"/>
  <c r="H208" i="2"/>
  <c r="G209" i="2"/>
  <c r="H219" i="28"/>
  <c r="G220" i="28"/>
  <c r="G218" i="8"/>
  <c r="H217" i="8"/>
  <c r="G210" i="3"/>
  <c r="H209" i="3"/>
  <c r="G219" i="25"/>
  <c r="H218" i="25"/>
  <c r="G219" i="16"/>
  <c r="H218" i="16"/>
  <c r="H217" i="10"/>
  <c r="G218" i="10"/>
  <c r="G219" i="4"/>
  <c r="H218" i="4"/>
  <c r="G220" i="60" l="1"/>
  <c r="H219" i="60"/>
  <c r="G220" i="62"/>
  <c r="H219" i="62"/>
  <c r="G220" i="61"/>
  <c r="H219" i="61"/>
  <c r="G221" i="59"/>
  <c r="H220" i="59"/>
  <c r="H223" i="69"/>
  <c r="G224" i="69"/>
  <c r="H223" i="68"/>
  <c r="G224" i="68"/>
  <c r="H223" i="67"/>
  <c r="G224" i="67"/>
  <c r="H223" i="66"/>
  <c r="G224" i="66"/>
  <c r="H223" i="65"/>
  <c r="G224" i="65"/>
  <c r="G225" i="64"/>
  <c r="H224" i="64"/>
  <c r="G223" i="63"/>
  <c r="H222" i="63"/>
  <c r="H223" i="58"/>
  <c r="G224" i="58"/>
  <c r="G225" i="57"/>
  <c r="H224" i="57"/>
  <c r="G227" i="56"/>
  <c r="H226" i="56"/>
  <c r="H176" i="54"/>
  <c r="G177" i="54"/>
  <c r="G223" i="55"/>
  <c r="H222" i="55"/>
  <c r="H223" i="53"/>
  <c r="G224" i="53"/>
  <c r="G210" i="2"/>
  <c r="H209" i="2"/>
  <c r="H220" i="28"/>
  <c r="G221" i="28"/>
  <c r="H218" i="8"/>
  <c r="G219" i="8"/>
  <c r="G211" i="3"/>
  <c r="H210" i="3"/>
  <c r="H219" i="25"/>
  <c r="G220" i="25"/>
  <c r="H219" i="16"/>
  <c r="G220" i="16"/>
  <c r="G219" i="10"/>
  <c r="H218" i="10"/>
  <c r="H219" i="4"/>
  <c r="G220" i="4"/>
  <c r="G221" i="60" l="1"/>
  <c r="H220" i="60"/>
  <c r="G221" i="62"/>
  <c r="H220" i="62"/>
  <c r="G221" i="61"/>
  <c r="H220" i="61"/>
  <c r="H221" i="59"/>
  <c r="G222" i="59"/>
  <c r="G225" i="69"/>
  <c r="H224" i="69"/>
  <c r="G225" i="68"/>
  <c r="H224" i="68"/>
  <c r="G225" i="67"/>
  <c r="H224" i="67"/>
  <c r="G225" i="66"/>
  <c r="H224" i="66"/>
  <c r="G225" i="65"/>
  <c r="H224" i="65"/>
  <c r="G226" i="64"/>
  <c r="H225" i="64"/>
  <c r="H223" i="63"/>
  <c r="G224" i="63"/>
  <c r="G225" i="58"/>
  <c r="H224" i="58"/>
  <c r="G226" i="57"/>
  <c r="H225" i="57"/>
  <c r="G228" i="56"/>
  <c r="H227" i="56"/>
  <c r="G178" i="54"/>
  <c r="H177" i="54"/>
  <c r="H223" i="55"/>
  <c r="G224" i="55"/>
  <c r="G225" i="53"/>
  <c r="H224" i="53"/>
  <c r="H210" i="2"/>
  <c r="G211" i="2"/>
  <c r="G222" i="28"/>
  <c r="H221" i="28"/>
  <c r="G220" i="8"/>
  <c r="H219" i="8"/>
  <c r="H211" i="3"/>
  <c r="G212" i="3"/>
  <c r="H220" i="25"/>
  <c r="G221" i="25"/>
  <c r="H220" i="16"/>
  <c r="G221" i="16"/>
  <c r="H219" i="10"/>
  <c r="G220" i="10"/>
  <c r="H220" i="4"/>
  <c r="G221" i="4"/>
  <c r="H221" i="60" l="1"/>
  <c r="G222" i="60"/>
  <c r="G222" i="62"/>
  <c r="H221" i="62"/>
  <c r="H221" i="61"/>
  <c r="G222" i="61"/>
  <c r="G223" i="59"/>
  <c r="H222" i="59"/>
  <c r="G226" i="69"/>
  <c r="H225" i="69"/>
  <c r="H225" i="68"/>
  <c r="G226" i="68"/>
  <c r="G226" i="67"/>
  <c r="H225" i="67"/>
  <c r="G226" i="66"/>
  <c r="H225" i="66"/>
  <c r="G226" i="65"/>
  <c r="H225" i="65"/>
  <c r="G227" i="64"/>
  <c r="H226" i="64"/>
  <c r="G225" i="63"/>
  <c r="H224" i="63"/>
  <c r="H225" i="58"/>
  <c r="G226" i="58"/>
  <c r="G227" i="57"/>
  <c r="H226" i="57"/>
  <c r="H228" i="56"/>
  <c r="G229" i="56"/>
  <c r="H178" i="54"/>
  <c r="G179" i="54"/>
  <c r="G225" i="55"/>
  <c r="H224" i="55"/>
  <c r="H225" i="53"/>
  <c r="G226" i="53"/>
  <c r="H211" i="2"/>
  <c r="G212" i="2"/>
  <c r="H222" i="28"/>
  <c r="G223" i="28"/>
  <c r="G221" i="8"/>
  <c r="H220" i="8"/>
  <c r="G213" i="3"/>
  <c r="H212" i="3"/>
  <c r="G222" i="25"/>
  <c r="H221" i="25"/>
  <c r="G222" i="16"/>
  <c r="H221" i="16"/>
  <c r="H220" i="10"/>
  <c r="G221" i="10"/>
  <c r="G222" i="4"/>
  <c r="H221" i="4"/>
  <c r="G223" i="60" l="1"/>
  <c r="H222" i="60"/>
  <c r="G223" i="62"/>
  <c r="H222" i="62"/>
  <c r="G223" i="61"/>
  <c r="H222" i="61"/>
  <c r="H223" i="59"/>
  <c r="G224" i="59"/>
  <c r="H226" i="69"/>
  <c r="G227" i="69"/>
  <c r="G227" i="68"/>
  <c r="H226" i="68"/>
  <c r="G227" i="67"/>
  <c r="H226" i="67"/>
  <c r="G227" i="66"/>
  <c r="H226" i="66"/>
  <c r="G227" i="65"/>
  <c r="H226" i="65"/>
  <c r="G228" i="64"/>
  <c r="H227" i="64"/>
  <c r="G226" i="63"/>
  <c r="H225" i="63"/>
  <c r="H226" i="58"/>
  <c r="G227" i="58"/>
  <c r="G228" i="57"/>
  <c r="H227" i="57"/>
  <c r="G230" i="56"/>
  <c r="H229" i="56"/>
  <c r="G180" i="54"/>
  <c r="H179" i="54"/>
  <c r="G226" i="55"/>
  <c r="H225" i="55"/>
  <c r="G227" i="53"/>
  <c r="H226" i="53"/>
  <c r="G213" i="2"/>
  <c r="H212" i="2"/>
  <c r="H223" i="28"/>
  <c r="G224" i="28"/>
  <c r="H221" i="8"/>
  <c r="G222" i="8"/>
  <c r="G214" i="3"/>
  <c r="H213" i="3"/>
  <c r="H222" i="25"/>
  <c r="G223" i="25"/>
  <c r="H222" i="16"/>
  <c r="G223" i="16"/>
  <c r="G222" i="10"/>
  <c r="H221" i="10"/>
  <c r="H222" i="4"/>
  <c r="G223" i="4"/>
  <c r="H223" i="60" l="1"/>
  <c r="G224" i="60"/>
  <c r="H223" i="62"/>
  <c r="G224" i="62"/>
  <c r="H223" i="61"/>
  <c r="G224" i="61"/>
  <c r="H224" i="59"/>
  <c r="G225" i="59"/>
  <c r="H227" i="69"/>
  <c r="G228" i="69"/>
  <c r="G228" i="68"/>
  <c r="H227" i="68"/>
  <c r="G228" i="67"/>
  <c r="H227" i="67"/>
  <c r="G228" i="66"/>
  <c r="H227" i="66"/>
  <c r="G228" i="65"/>
  <c r="H227" i="65"/>
  <c r="H228" i="64"/>
  <c r="G229" i="64"/>
  <c r="G227" i="63"/>
  <c r="H226" i="63"/>
  <c r="H227" i="58"/>
  <c r="G228" i="58"/>
  <c r="H228" i="57"/>
  <c r="G229" i="57"/>
  <c r="G231" i="56"/>
  <c r="H230" i="56"/>
  <c r="G181" i="54"/>
  <c r="H180" i="54"/>
  <c r="H226" i="55"/>
  <c r="G227" i="55"/>
  <c r="G228" i="53"/>
  <c r="H227" i="53"/>
  <c r="G214" i="2"/>
  <c r="H213" i="2"/>
  <c r="G225" i="28"/>
  <c r="H224" i="28"/>
  <c r="H222" i="8"/>
  <c r="G223" i="8"/>
  <c r="H214" i="3"/>
  <c r="G215" i="3"/>
  <c r="H223" i="25"/>
  <c r="G224" i="25"/>
  <c r="H223" i="16"/>
  <c r="G224" i="16"/>
  <c r="H222" i="10"/>
  <c r="G223" i="10"/>
  <c r="H223" i="4"/>
  <c r="G224" i="4"/>
  <c r="G225" i="60" l="1"/>
  <c r="H224" i="60"/>
  <c r="G225" i="62"/>
  <c r="H224" i="62"/>
  <c r="G225" i="61"/>
  <c r="H224" i="61"/>
  <c r="G226" i="59"/>
  <c r="H225" i="59"/>
  <c r="H228" i="69"/>
  <c r="G229" i="69"/>
  <c r="H228" i="68"/>
  <c r="G229" i="68"/>
  <c r="H228" i="67"/>
  <c r="G229" i="67"/>
  <c r="H228" i="66"/>
  <c r="G229" i="66"/>
  <c r="H228" i="65"/>
  <c r="G229" i="65"/>
  <c r="H229" i="64"/>
  <c r="G230" i="64"/>
  <c r="G228" i="63"/>
  <c r="H227" i="63"/>
  <c r="H228" i="58"/>
  <c r="G229" i="58"/>
  <c r="H229" i="57"/>
  <c r="G230" i="57"/>
  <c r="G232" i="56"/>
  <c r="H231" i="56"/>
  <c r="H181" i="54"/>
  <c r="G182" i="54"/>
  <c r="G228" i="55"/>
  <c r="H227" i="55"/>
  <c r="H228" i="53"/>
  <c r="G229" i="53"/>
  <c r="H214" i="2"/>
  <c r="G215" i="2"/>
  <c r="H225" i="28"/>
  <c r="G226" i="28"/>
  <c r="H223" i="8"/>
  <c r="G224" i="8"/>
  <c r="G216" i="3"/>
  <c r="H215" i="3"/>
  <c r="G225" i="25"/>
  <c r="H224" i="25"/>
  <c r="G225" i="16"/>
  <c r="H224" i="16"/>
  <c r="H223" i="10"/>
  <c r="G224" i="10"/>
  <c r="G225" i="4"/>
  <c r="H224" i="4"/>
  <c r="G226" i="60" l="1"/>
  <c r="H225" i="60"/>
  <c r="G226" i="62"/>
  <c r="H225" i="62"/>
  <c r="G226" i="61"/>
  <c r="H225" i="61"/>
  <c r="H226" i="59"/>
  <c r="G227" i="59"/>
  <c r="H229" i="69"/>
  <c r="G230" i="69"/>
  <c r="G230" i="68"/>
  <c r="H229" i="68"/>
  <c r="H229" i="67"/>
  <c r="G230" i="67"/>
  <c r="H229" i="66"/>
  <c r="G230" i="66"/>
  <c r="H229" i="65"/>
  <c r="G230" i="65"/>
  <c r="G231" i="64"/>
  <c r="H230" i="64"/>
  <c r="H228" i="63"/>
  <c r="G229" i="63"/>
  <c r="H229" i="58"/>
  <c r="G230" i="58"/>
  <c r="G231" i="57"/>
  <c r="H230" i="57"/>
  <c r="G233" i="56"/>
  <c r="H232" i="56"/>
  <c r="H182" i="54"/>
  <c r="G183" i="54"/>
  <c r="H228" i="55"/>
  <c r="G229" i="55"/>
  <c r="G230" i="53"/>
  <c r="H229" i="53"/>
  <c r="H215" i="2"/>
  <c r="G216" i="2"/>
  <c r="H226" i="28"/>
  <c r="G227" i="28"/>
  <c r="G225" i="8"/>
  <c r="H224" i="8"/>
  <c r="H216" i="3"/>
  <c r="G217" i="3"/>
  <c r="H225" i="25"/>
  <c r="G226" i="25"/>
  <c r="H225" i="16"/>
  <c r="G226" i="16"/>
  <c r="G225" i="10"/>
  <c r="H224" i="10"/>
  <c r="H225" i="4"/>
  <c r="G226" i="4"/>
  <c r="H226" i="60" l="1"/>
  <c r="G227" i="60"/>
  <c r="G227" i="62"/>
  <c r="H226" i="62"/>
  <c r="G227" i="61"/>
  <c r="H226" i="61"/>
  <c r="G228" i="59"/>
  <c r="H227" i="59"/>
  <c r="G231" i="69"/>
  <c r="H230" i="69"/>
  <c r="G231" i="68"/>
  <c r="H230" i="68"/>
  <c r="G231" i="67"/>
  <c r="H230" i="67"/>
  <c r="H230" i="66"/>
  <c r="G231" i="66"/>
  <c r="G231" i="65"/>
  <c r="H230" i="65"/>
  <c r="G232" i="64"/>
  <c r="H231" i="64"/>
  <c r="G230" i="63"/>
  <c r="H229" i="63"/>
  <c r="G231" i="58"/>
  <c r="H230" i="58"/>
  <c r="G232" i="57"/>
  <c r="H231" i="57"/>
  <c r="G234" i="56"/>
  <c r="H233" i="56"/>
  <c r="G184" i="54"/>
  <c r="H183" i="54"/>
  <c r="G230" i="55"/>
  <c r="H229" i="55"/>
  <c r="H230" i="53"/>
  <c r="G231" i="53"/>
  <c r="H216" i="2"/>
  <c r="G217" i="2"/>
  <c r="G228" i="28"/>
  <c r="H227" i="28"/>
  <c r="H225" i="8"/>
  <c r="G226" i="8"/>
  <c r="H217" i="3"/>
  <c r="G218" i="3"/>
  <c r="H226" i="25"/>
  <c r="G227" i="25"/>
  <c r="H226" i="16"/>
  <c r="G227" i="16"/>
  <c r="H225" i="10"/>
  <c r="G226" i="10"/>
  <c r="H226" i="4"/>
  <c r="G227" i="4"/>
  <c r="H227" i="60" l="1"/>
  <c r="G228" i="60"/>
  <c r="G228" i="62"/>
  <c r="H227" i="62"/>
  <c r="G228" i="61"/>
  <c r="H227" i="61"/>
  <c r="H228" i="59"/>
  <c r="G229" i="59"/>
  <c r="G232" i="69"/>
  <c r="H231" i="69"/>
  <c r="G232" i="68"/>
  <c r="H231" i="68"/>
  <c r="H231" i="67"/>
  <c r="G232" i="67"/>
  <c r="G232" i="66"/>
  <c r="H231" i="66"/>
  <c r="G232" i="65"/>
  <c r="H231" i="65"/>
  <c r="H232" i="64"/>
  <c r="G233" i="64"/>
  <c r="G231" i="63"/>
  <c r="H230" i="63"/>
  <c r="G232" i="58"/>
  <c r="H231" i="58"/>
  <c r="G233" i="57"/>
  <c r="H232" i="57"/>
  <c r="H234" i="56"/>
  <c r="G235" i="56"/>
  <c r="H184" i="54"/>
  <c r="G185" i="54"/>
  <c r="H230" i="55"/>
  <c r="G231" i="55"/>
  <c r="H231" i="53"/>
  <c r="G232" i="53"/>
  <c r="H217" i="2"/>
  <c r="G218" i="2"/>
  <c r="H228" i="28"/>
  <c r="G229" i="28"/>
  <c r="H226" i="8"/>
  <c r="G227" i="8"/>
  <c r="H218" i="3"/>
  <c r="G219" i="3"/>
  <c r="G228" i="25"/>
  <c r="H227" i="25"/>
  <c r="G228" i="16"/>
  <c r="H227" i="16"/>
  <c r="H226" i="10"/>
  <c r="G227" i="10"/>
  <c r="G228" i="4"/>
  <c r="H227" i="4"/>
  <c r="H228" i="60" l="1"/>
  <c r="G229" i="60"/>
  <c r="G229" i="62"/>
  <c r="H228" i="62"/>
  <c r="H228" i="61"/>
  <c r="G229" i="61"/>
  <c r="H229" i="59"/>
  <c r="G230" i="59"/>
  <c r="G233" i="69"/>
  <c r="H232" i="69"/>
  <c r="H232" i="68"/>
  <c r="G233" i="68"/>
  <c r="G233" i="67"/>
  <c r="H232" i="67"/>
  <c r="G233" i="66"/>
  <c r="H232" i="66"/>
  <c r="G233" i="65"/>
  <c r="H232" i="65"/>
  <c r="G234" i="64"/>
  <c r="H233" i="64"/>
  <c r="H231" i="63"/>
  <c r="G232" i="63"/>
  <c r="G233" i="58"/>
  <c r="H232" i="58"/>
  <c r="G234" i="57"/>
  <c r="H233" i="57"/>
  <c r="H235" i="56"/>
  <c r="G236" i="56"/>
  <c r="H185" i="54"/>
  <c r="G186" i="54"/>
  <c r="G232" i="55"/>
  <c r="H231" i="55"/>
  <c r="H232" i="53"/>
  <c r="G233" i="53"/>
  <c r="H218" i="2"/>
  <c r="G219" i="2"/>
  <c r="H229" i="28"/>
  <c r="G230" i="28"/>
  <c r="G228" i="8"/>
  <c r="H227" i="8"/>
  <c r="H219" i="3"/>
  <c r="G220" i="3"/>
  <c r="H228" i="25"/>
  <c r="G229" i="25"/>
  <c r="H228" i="16"/>
  <c r="G229" i="16"/>
  <c r="G228" i="10"/>
  <c r="H227" i="10"/>
  <c r="H228" i="4"/>
  <c r="G229" i="4"/>
  <c r="H229" i="60" l="1"/>
  <c r="G230" i="60"/>
  <c r="H229" i="62"/>
  <c r="G230" i="62"/>
  <c r="H229" i="61"/>
  <c r="G230" i="61"/>
  <c r="H230" i="59"/>
  <c r="G231" i="59"/>
  <c r="G234" i="69"/>
  <c r="H233" i="69"/>
  <c r="G234" i="68"/>
  <c r="H233" i="68"/>
  <c r="G234" i="67"/>
  <c r="H233" i="67"/>
  <c r="G234" i="66"/>
  <c r="H233" i="66"/>
  <c r="G234" i="65"/>
  <c r="H233" i="65"/>
  <c r="H234" i="64"/>
  <c r="G235" i="64"/>
  <c r="G233" i="63"/>
  <c r="H232" i="63"/>
  <c r="H233" i="58"/>
  <c r="G234" i="58"/>
  <c r="H234" i="57"/>
  <c r="G235" i="57"/>
  <c r="G237" i="56"/>
  <c r="H236" i="56"/>
  <c r="G187" i="54"/>
  <c r="H186" i="54"/>
  <c r="G233" i="55"/>
  <c r="H232" i="55"/>
  <c r="G234" i="53"/>
  <c r="H233" i="53"/>
  <c r="H219" i="2"/>
  <c r="G220" i="2"/>
  <c r="G231" i="28"/>
  <c r="H230" i="28"/>
  <c r="G229" i="8"/>
  <c r="H228" i="8"/>
  <c r="H220" i="3"/>
  <c r="G221" i="3"/>
  <c r="H229" i="25"/>
  <c r="G230" i="25"/>
  <c r="H229" i="16"/>
  <c r="G230" i="16"/>
  <c r="H228" i="10"/>
  <c r="G229" i="10"/>
  <c r="H229" i="4"/>
  <c r="G230" i="4"/>
  <c r="G231" i="60" l="1"/>
  <c r="H230" i="60"/>
  <c r="G231" i="62"/>
  <c r="H230" i="62"/>
  <c r="G231" i="61"/>
  <c r="H230" i="61"/>
  <c r="G232" i="59"/>
  <c r="H231" i="59"/>
  <c r="H234" i="69"/>
  <c r="G235" i="69"/>
  <c r="H234" i="68"/>
  <c r="G235" i="68"/>
  <c r="H234" i="67"/>
  <c r="G235" i="67"/>
  <c r="H234" i="66"/>
  <c r="G235" i="66"/>
  <c r="H234" i="65"/>
  <c r="G235" i="65"/>
  <c r="G236" i="64"/>
  <c r="H235" i="64"/>
  <c r="G234" i="63"/>
  <c r="H233" i="63"/>
  <c r="H234" i="58"/>
  <c r="G235" i="58"/>
  <c r="G236" i="57"/>
  <c r="H235" i="57"/>
  <c r="G238" i="56"/>
  <c r="H237" i="56"/>
  <c r="G188" i="54"/>
  <c r="H187" i="54"/>
  <c r="G234" i="55"/>
  <c r="H233" i="55"/>
  <c r="H234" i="53"/>
  <c r="G235" i="53"/>
  <c r="H220" i="2"/>
  <c r="G221" i="2"/>
  <c r="H231" i="28"/>
  <c r="G232" i="28"/>
  <c r="G230" i="8"/>
  <c r="H229" i="8"/>
  <c r="G222" i="3"/>
  <c r="H221" i="3"/>
  <c r="G231" i="25"/>
  <c r="H230" i="25"/>
  <c r="G231" i="16"/>
  <c r="H230" i="16"/>
  <c r="H229" i="10"/>
  <c r="G230" i="10"/>
  <c r="G231" i="4"/>
  <c r="H230" i="4"/>
  <c r="G232" i="60" l="1"/>
  <c r="H231" i="60"/>
  <c r="G232" i="62"/>
  <c r="H231" i="62"/>
  <c r="G232" i="61"/>
  <c r="H231" i="61"/>
  <c r="H232" i="59"/>
  <c r="G233" i="59"/>
  <c r="G236" i="69"/>
  <c r="H235" i="69"/>
  <c r="G236" i="68"/>
  <c r="H235" i="68"/>
  <c r="G236" i="67"/>
  <c r="H235" i="67"/>
  <c r="H235" i="66"/>
  <c r="G236" i="66"/>
  <c r="G236" i="65"/>
  <c r="H235" i="65"/>
  <c r="G237" i="64"/>
  <c r="H236" i="64"/>
  <c r="H234" i="63"/>
  <c r="G235" i="63"/>
  <c r="G236" i="58"/>
  <c r="H235" i="58"/>
  <c r="G237" i="57"/>
  <c r="H236" i="57"/>
  <c r="G239" i="56"/>
  <c r="H238" i="56"/>
  <c r="G189" i="54"/>
  <c r="H188" i="54"/>
  <c r="H234" i="55"/>
  <c r="G235" i="55"/>
  <c r="G236" i="53"/>
  <c r="H235" i="53"/>
  <c r="G222" i="2"/>
  <c r="H221" i="2"/>
  <c r="H232" i="28"/>
  <c r="G233" i="28"/>
  <c r="G231" i="8"/>
  <c r="H230" i="8"/>
  <c r="H222" i="3"/>
  <c r="G223" i="3"/>
  <c r="H231" i="25"/>
  <c r="G232" i="25"/>
  <c r="H231" i="16"/>
  <c r="G232" i="16"/>
  <c r="G231" i="10"/>
  <c r="H230" i="10"/>
  <c r="H231" i="4"/>
  <c r="G232" i="4"/>
  <c r="G233" i="60" l="1"/>
  <c r="H232" i="60"/>
  <c r="H232" i="62"/>
  <c r="G233" i="62"/>
  <c r="H232" i="61"/>
  <c r="G233" i="61"/>
  <c r="G234" i="59"/>
  <c r="H233" i="59"/>
  <c r="G237" i="69"/>
  <c r="H236" i="69"/>
  <c r="H236" i="68"/>
  <c r="G237" i="68"/>
  <c r="G237" i="67"/>
  <c r="H236" i="67"/>
  <c r="G237" i="66"/>
  <c r="H236" i="66"/>
  <c r="G237" i="65"/>
  <c r="H236" i="65"/>
  <c r="G238" i="64"/>
  <c r="H237" i="64"/>
  <c r="H235" i="63"/>
  <c r="G236" i="63"/>
  <c r="H236" i="58"/>
  <c r="G237" i="58"/>
  <c r="G238" i="57"/>
  <c r="H237" i="57"/>
  <c r="H239" i="56"/>
  <c r="G240" i="56"/>
  <c r="H189" i="54"/>
  <c r="G190" i="54"/>
  <c r="H235" i="55"/>
  <c r="G236" i="55"/>
  <c r="G237" i="53"/>
  <c r="H236" i="53"/>
  <c r="H222" i="2"/>
  <c r="G223" i="2"/>
  <c r="G234" i="28"/>
  <c r="H233" i="28"/>
  <c r="H231" i="8"/>
  <c r="G232" i="8"/>
  <c r="H223" i="3"/>
  <c r="G224" i="3"/>
  <c r="H232" i="25"/>
  <c r="G233" i="25"/>
  <c r="H232" i="16"/>
  <c r="G233" i="16"/>
  <c r="H231" i="10"/>
  <c r="G232" i="10"/>
  <c r="H232" i="4"/>
  <c r="G233" i="4"/>
  <c r="G234" i="60" l="1"/>
  <c r="H233" i="60"/>
  <c r="G234" i="62"/>
  <c r="H233" i="62"/>
  <c r="G234" i="61"/>
  <c r="H233" i="61"/>
  <c r="H234" i="59"/>
  <c r="G235" i="59"/>
  <c r="H237" i="69"/>
  <c r="G238" i="69"/>
  <c r="G238" i="68"/>
  <c r="H237" i="68"/>
  <c r="G238" i="67"/>
  <c r="H237" i="67"/>
  <c r="G238" i="66"/>
  <c r="H237" i="66"/>
  <c r="G238" i="65"/>
  <c r="H237" i="65"/>
  <c r="G239" i="64"/>
  <c r="H238" i="64"/>
  <c r="G237" i="63"/>
  <c r="H236" i="63"/>
  <c r="G238" i="58"/>
  <c r="H237" i="58"/>
  <c r="G239" i="57"/>
  <c r="H238" i="57"/>
  <c r="G241" i="56"/>
  <c r="H240" i="56"/>
  <c r="H190" i="54"/>
  <c r="G191" i="54"/>
  <c r="G237" i="55"/>
  <c r="H236" i="55"/>
  <c r="G238" i="53"/>
  <c r="H237" i="53"/>
  <c r="H223" i="2"/>
  <c r="G224" i="2"/>
  <c r="H234" i="28"/>
  <c r="G235" i="28"/>
  <c r="G233" i="8"/>
  <c r="H232" i="8"/>
  <c r="G225" i="3"/>
  <c r="H224" i="3"/>
  <c r="G234" i="25"/>
  <c r="H233" i="25"/>
  <c r="G234" i="16"/>
  <c r="H233" i="16"/>
  <c r="H232" i="10"/>
  <c r="G233" i="10"/>
  <c r="G234" i="4"/>
  <c r="H233" i="4"/>
  <c r="G235" i="60" l="1"/>
  <c r="H234" i="60"/>
  <c r="G235" i="62"/>
  <c r="H234" i="62"/>
  <c r="H234" i="61"/>
  <c r="G235" i="61"/>
  <c r="G236" i="59"/>
  <c r="H235" i="59"/>
  <c r="H238" i="69"/>
  <c r="G239" i="69"/>
  <c r="G239" i="68"/>
  <c r="H238" i="68"/>
  <c r="G239" i="67"/>
  <c r="H238" i="67"/>
  <c r="G239" i="66"/>
  <c r="H238" i="66"/>
  <c r="G239" i="65"/>
  <c r="H238" i="65"/>
  <c r="H239" i="64"/>
  <c r="G240" i="64"/>
  <c r="G238" i="63"/>
  <c r="H237" i="63"/>
  <c r="H238" i="58"/>
  <c r="G239" i="58"/>
  <c r="H239" i="57"/>
  <c r="G240" i="57"/>
  <c r="G242" i="56"/>
  <c r="H241" i="56"/>
  <c r="H191" i="54"/>
  <c r="G192" i="54"/>
  <c r="H237" i="55"/>
  <c r="G238" i="55"/>
  <c r="G239" i="53"/>
  <c r="H238" i="53"/>
  <c r="H224" i="2"/>
  <c r="G225" i="2"/>
  <c r="H235" i="28"/>
  <c r="G236" i="28"/>
  <c r="G234" i="8"/>
  <c r="H233" i="8"/>
  <c r="G226" i="3"/>
  <c r="H225" i="3"/>
  <c r="H234" i="25"/>
  <c r="G235" i="25"/>
  <c r="H234" i="16"/>
  <c r="G235" i="16"/>
  <c r="G234" i="10"/>
  <c r="H233" i="10"/>
  <c r="H234" i="4"/>
  <c r="G235" i="4"/>
  <c r="H235" i="60" l="1"/>
  <c r="G236" i="60"/>
  <c r="H235" i="62"/>
  <c r="G236" i="62"/>
  <c r="G236" i="61"/>
  <c r="H235" i="61"/>
  <c r="G237" i="59"/>
  <c r="H236" i="59"/>
  <c r="H239" i="69"/>
  <c r="G240" i="69"/>
  <c r="H239" i="68"/>
  <c r="G240" i="68"/>
  <c r="H239" i="67"/>
  <c r="G240" i="67"/>
  <c r="H239" i="66"/>
  <c r="G240" i="66"/>
  <c r="H239" i="65"/>
  <c r="G240" i="65"/>
  <c r="G241" i="64"/>
  <c r="H240" i="64"/>
  <c r="G239" i="63"/>
  <c r="H238" i="63"/>
  <c r="H239" i="58"/>
  <c r="G240" i="58"/>
  <c r="G241" i="57"/>
  <c r="H240" i="57"/>
  <c r="G243" i="56"/>
  <c r="H242" i="56"/>
  <c r="H192" i="54"/>
  <c r="G193" i="54"/>
  <c r="G239" i="55"/>
  <c r="H238" i="55"/>
  <c r="H239" i="53"/>
  <c r="G240" i="53"/>
  <c r="H225" i="2"/>
  <c r="G226" i="2"/>
  <c r="G237" i="28"/>
  <c r="H236" i="28"/>
  <c r="H234" i="8"/>
  <c r="G235" i="8"/>
  <c r="H226" i="3"/>
  <c r="G227" i="3"/>
  <c r="H235" i="25"/>
  <c r="G236" i="25"/>
  <c r="H235" i="16"/>
  <c r="G236" i="16"/>
  <c r="H234" i="10"/>
  <c r="G235" i="10"/>
  <c r="H235" i="4"/>
  <c r="G236" i="4"/>
  <c r="G237" i="60" l="1"/>
  <c r="H236" i="60"/>
  <c r="G237" i="62"/>
  <c r="H236" i="62"/>
  <c r="G237" i="61"/>
  <c r="H236" i="61"/>
  <c r="G238" i="59"/>
  <c r="H237" i="59"/>
  <c r="H240" i="69"/>
  <c r="G241" i="69"/>
  <c r="H240" i="68"/>
  <c r="G241" i="68"/>
  <c r="G241" i="67"/>
  <c r="H240" i="67"/>
  <c r="H240" i="66"/>
  <c r="G241" i="66"/>
  <c r="G241" i="65"/>
  <c r="H240" i="65"/>
  <c r="G242" i="64"/>
  <c r="H241" i="64"/>
  <c r="H239" i="63"/>
  <c r="G240" i="63"/>
  <c r="H240" i="58"/>
  <c r="G241" i="58"/>
  <c r="G242" i="57"/>
  <c r="H241" i="57"/>
  <c r="G244" i="56"/>
  <c r="H243" i="56"/>
  <c r="H193" i="54"/>
  <c r="G194" i="54"/>
  <c r="H239" i="55"/>
  <c r="G240" i="55"/>
  <c r="G241" i="53"/>
  <c r="H240" i="53"/>
  <c r="H226" i="2"/>
  <c r="G227" i="2"/>
  <c r="H237" i="28"/>
  <c r="G238" i="28"/>
  <c r="G236" i="8"/>
  <c r="H235" i="8"/>
  <c r="G228" i="3"/>
  <c r="H227" i="3"/>
  <c r="G237" i="25"/>
  <c r="H236" i="25"/>
  <c r="G237" i="16"/>
  <c r="H236" i="16"/>
  <c r="H235" i="10"/>
  <c r="G236" i="10"/>
  <c r="G237" i="4"/>
  <c r="H236" i="4"/>
  <c r="H237" i="60" l="1"/>
  <c r="G238" i="60"/>
  <c r="G238" i="62"/>
  <c r="H237" i="62"/>
  <c r="G238" i="61"/>
  <c r="H237" i="61"/>
  <c r="G239" i="59"/>
  <c r="H238" i="59"/>
  <c r="H241" i="69"/>
  <c r="G242" i="69"/>
  <c r="H241" i="68"/>
  <c r="G242" i="68"/>
  <c r="G242" i="67"/>
  <c r="H241" i="67"/>
  <c r="H241" i="66"/>
  <c r="G242" i="66"/>
  <c r="G242" i="65"/>
  <c r="H241" i="65"/>
  <c r="G243" i="64"/>
  <c r="H242" i="64"/>
  <c r="G241" i="63"/>
  <c r="H240" i="63"/>
  <c r="G242" i="58"/>
  <c r="H241" i="58"/>
  <c r="G243" i="57"/>
  <c r="H242" i="57"/>
  <c r="G245" i="56"/>
  <c r="H244" i="56"/>
  <c r="G195" i="54"/>
  <c r="H194" i="54"/>
  <c r="H240" i="55"/>
  <c r="G241" i="55"/>
  <c r="G242" i="53"/>
  <c r="H241" i="53"/>
  <c r="G228" i="2"/>
  <c r="H227" i="2"/>
  <c r="H238" i="28"/>
  <c r="G239" i="28"/>
  <c r="H236" i="8"/>
  <c r="G237" i="8"/>
  <c r="G229" i="3"/>
  <c r="H228" i="3"/>
  <c r="H237" i="25"/>
  <c r="G238" i="25"/>
  <c r="H237" i="16"/>
  <c r="G238" i="16"/>
  <c r="G237" i="10"/>
  <c r="H236" i="10"/>
  <c r="H237" i="4"/>
  <c r="G238" i="4"/>
  <c r="G239" i="60" l="1"/>
  <c r="H238" i="60"/>
  <c r="H238" i="62"/>
  <c r="G239" i="62"/>
  <c r="G239" i="61"/>
  <c r="H238" i="61"/>
  <c r="H239" i="59"/>
  <c r="G240" i="59"/>
  <c r="G243" i="69"/>
  <c r="H242" i="69"/>
  <c r="G243" i="68"/>
  <c r="H242" i="68"/>
  <c r="G243" i="67"/>
  <c r="H242" i="67"/>
  <c r="H242" i="66"/>
  <c r="G243" i="66"/>
  <c r="G243" i="65"/>
  <c r="H242" i="65"/>
  <c r="G244" i="64"/>
  <c r="H243" i="64"/>
  <c r="H241" i="63"/>
  <c r="G242" i="63"/>
  <c r="G243" i="58"/>
  <c r="H242" i="58"/>
  <c r="H243" i="57"/>
  <c r="G244" i="57"/>
  <c r="H245" i="56"/>
  <c r="G246" i="56"/>
  <c r="G196" i="54"/>
  <c r="H195" i="54"/>
  <c r="G242" i="55"/>
  <c r="H241" i="55"/>
  <c r="H242" i="53"/>
  <c r="G243" i="53"/>
  <c r="H228" i="2"/>
  <c r="G229" i="2"/>
  <c r="G240" i="28"/>
  <c r="H239" i="28"/>
  <c r="H237" i="8"/>
  <c r="G238" i="8"/>
  <c r="H229" i="3"/>
  <c r="G230" i="3"/>
  <c r="H238" i="25"/>
  <c r="G239" i="25"/>
  <c r="H238" i="16"/>
  <c r="G239" i="16"/>
  <c r="H237" i="10"/>
  <c r="G238" i="10"/>
  <c r="H238" i="4"/>
  <c r="G239" i="4"/>
  <c r="H239" i="60" l="1"/>
  <c r="G240" i="60"/>
  <c r="G240" i="62"/>
  <c r="H239" i="62"/>
  <c r="H239" i="61"/>
  <c r="G240" i="61"/>
  <c r="H240" i="59"/>
  <c r="G241" i="59"/>
  <c r="G244" i="69"/>
  <c r="H243" i="69"/>
  <c r="G244" i="68"/>
  <c r="H243" i="68"/>
  <c r="G244" i="67"/>
  <c r="H243" i="67"/>
  <c r="G244" i="66"/>
  <c r="H243" i="66"/>
  <c r="G244" i="65"/>
  <c r="H243" i="65"/>
  <c r="G245" i="64"/>
  <c r="H244" i="64"/>
  <c r="G243" i="63"/>
  <c r="H242" i="63"/>
  <c r="G244" i="58"/>
  <c r="H243" i="58"/>
  <c r="G245" i="57"/>
  <c r="H244" i="57"/>
  <c r="H246" i="56"/>
  <c r="G247" i="56"/>
  <c r="G197" i="54"/>
  <c r="H196" i="54"/>
  <c r="G243" i="55"/>
  <c r="H242" i="55"/>
  <c r="G244" i="53"/>
  <c r="H243" i="53"/>
  <c r="H229" i="2"/>
  <c r="G230" i="2"/>
  <c r="H240" i="28"/>
  <c r="G241" i="28"/>
  <c r="G239" i="8"/>
  <c r="H238" i="8"/>
  <c r="G231" i="3"/>
  <c r="H230" i="3"/>
  <c r="G240" i="25"/>
  <c r="H239" i="25"/>
  <c r="G240" i="16"/>
  <c r="H239" i="16"/>
  <c r="H238" i="10"/>
  <c r="G239" i="10"/>
  <c r="G240" i="4"/>
  <c r="H239" i="4"/>
  <c r="G241" i="60" l="1"/>
  <c r="H240" i="60"/>
  <c r="G241" i="62"/>
  <c r="H240" i="62"/>
  <c r="H240" i="61"/>
  <c r="G241" i="61"/>
  <c r="H241" i="59"/>
  <c r="G242" i="59"/>
  <c r="G245" i="69"/>
  <c r="H244" i="69"/>
  <c r="G245" i="68"/>
  <c r="H244" i="68"/>
  <c r="G245" i="67"/>
  <c r="H244" i="67"/>
  <c r="G245" i="66"/>
  <c r="H244" i="66"/>
  <c r="G245" i="65"/>
  <c r="H244" i="65"/>
  <c r="H245" i="64"/>
  <c r="G246" i="64"/>
  <c r="G244" i="63"/>
  <c r="H243" i="63"/>
  <c r="H244" i="58"/>
  <c r="G245" i="58"/>
  <c r="H245" i="57"/>
  <c r="G246" i="57"/>
  <c r="G248" i="56"/>
  <c r="H247" i="56"/>
  <c r="G198" i="54"/>
  <c r="H197" i="54"/>
  <c r="G244" i="55"/>
  <c r="H243" i="55"/>
  <c r="G245" i="53"/>
  <c r="H244" i="53"/>
  <c r="G231" i="2"/>
  <c r="H230" i="2"/>
  <c r="H241" i="28"/>
  <c r="G242" i="28"/>
  <c r="G240" i="8"/>
  <c r="H239" i="8"/>
  <c r="H231" i="3"/>
  <c r="G232" i="3"/>
  <c r="H240" i="25"/>
  <c r="G241" i="25"/>
  <c r="H240" i="16"/>
  <c r="G241" i="16"/>
  <c r="G240" i="10"/>
  <c r="H239" i="10"/>
  <c r="H240" i="4"/>
  <c r="G241" i="4"/>
  <c r="G242" i="60" l="1"/>
  <c r="H241" i="60"/>
  <c r="H241" i="62"/>
  <c r="G242" i="62"/>
  <c r="H241" i="61"/>
  <c r="G242" i="61"/>
  <c r="G243" i="59"/>
  <c r="H242" i="59"/>
  <c r="H245" i="69"/>
  <c r="G246" i="69"/>
  <c r="H245" i="68"/>
  <c r="G246" i="68"/>
  <c r="H245" i="67"/>
  <c r="G246" i="67"/>
  <c r="H245" i="66"/>
  <c r="G246" i="66"/>
  <c r="H245" i="65"/>
  <c r="G246" i="65"/>
  <c r="G247" i="64"/>
  <c r="H246" i="64"/>
  <c r="G245" i="63"/>
  <c r="H244" i="63"/>
  <c r="H245" i="58"/>
  <c r="G246" i="58"/>
  <c r="G247" i="57"/>
  <c r="H246" i="57"/>
  <c r="G249" i="56"/>
  <c r="H248" i="56"/>
  <c r="G199" i="54"/>
  <c r="H198" i="54"/>
  <c r="G245" i="55"/>
  <c r="H244" i="55"/>
  <c r="H245" i="53"/>
  <c r="G246" i="53"/>
  <c r="H231" i="2"/>
  <c r="G232" i="2"/>
  <c r="G243" i="28"/>
  <c r="H242" i="28"/>
  <c r="G241" i="8"/>
  <c r="H240" i="8"/>
  <c r="H232" i="3"/>
  <c r="G233" i="3"/>
  <c r="H241" i="25"/>
  <c r="G242" i="25"/>
  <c r="H241" i="16"/>
  <c r="G242" i="16"/>
  <c r="H240" i="10"/>
  <c r="G241" i="10"/>
  <c r="H241" i="4"/>
  <c r="G242" i="4"/>
  <c r="G243" i="60" l="1"/>
  <c r="H242" i="60"/>
  <c r="H242" i="62"/>
  <c r="G243" i="62"/>
  <c r="G243" i="61"/>
  <c r="H242" i="61"/>
  <c r="H243" i="59"/>
  <c r="G244" i="59"/>
  <c r="G247" i="69"/>
  <c r="H246" i="69"/>
  <c r="G247" i="68"/>
  <c r="H246" i="68"/>
  <c r="G247" i="67"/>
  <c r="H246" i="67"/>
  <c r="G247" i="66"/>
  <c r="H246" i="66"/>
  <c r="G247" i="65"/>
  <c r="H246" i="65"/>
  <c r="H247" i="64"/>
  <c r="G248" i="64"/>
  <c r="H245" i="63"/>
  <c r="G246" i="63"/>
  <c r="G247" i="58"/>
  <c r="H246" i="58"/>
  <c r="G248" i="57"/>
  <c r="H247" i="57"/>
  <c r="G250" i="56"/>
  <c r="H250" i="56" s="1"/>
  <c r="H249" i="56"/>
  <c r="H199" i="54"/>
  <c r="G200" i="54"/>
  <c r="H245" i="55"/>
  <c r="G246" i="55"/>
  <c r="G247" i="53"/>
  <c r="H246" i="53"/>
  <c r="H232" i="2"/>
  <c r="G233" i="2"/>
  <c r="H243" i="28"/>
  <c r="G244" i="28"/>
  <c r="H241" i="8"/>
  <c r="G242" i="8"/>
  <c r="H233" i="3"/>
  <c r="G234" i="3"/>
  <c r="G243" i="25"/>
  <c r="H242" i="25"/>
  <c r="G243" i="16"/>
  <c r="H242" i="16"/>
  <c r="H241" i="10"/>
  <c r="G242" i="10"/>
  <c r="G243" i="4"/>
  <c r="H242" i="4"/>
  <c r="G244" i="60" l="1"/>
  <c r="H243" i="60"/>
  <c r="G244" i="62"/>
  <c r="H243" i="62"/>
  <c r="H243" i="61"/>
  <c r="G244" i="61"/>
  <c r="G245" i="59"/>
  <c r="H244" i="59"/>
  <c r="G248" i="69"/>
  <c r="H247" i="69"/>
  <c r="H247" i="68"/>
  <c r="G248" i="68"/>
  <c r="G248" i="67"/>
  <c r="H247" i="67"/>
  <c r="G248" i="66"/>
  <c r="H247" i="66"/>
  <c r="G248" i="65"/>
  <c r="H247" i="65"/>
  <c r="G249" i="64"/>
  <c r="H248" i="64"/>
  <c r="G247" i="63"/>
  <c r="H246" i="63"/>
  <c r="H247" i="58"/>
  <c r="G248" i="58"/>
  <c r="G249" i="57"/>
  <c r="H248" i="57"/>
  <c r="H200" i="54"/>
  <c r="G201" i="54"/>
  <c r="G247" i="55"/>
  <c r="H246" i="55"/>
  <c r="H247" i="53"/>
  <c r="G248" i="53"/>
  <c r="H233" i="2"/>
  <c r="G234" i="2"/>
  <c r="H244" i="28"/>
  <c r="G245" i="28"/>
  <c r="G243" i="8"/>
  <c r="H242" i="8"/>
  <c r="G235" i="3"/>
  <c r="H234" i="3"/>
  <c r="H243" i="25"/>
  <c r="G244" i="25"/>
  <c r="H243" i="16"/>
  <c r="G244" i="16"/>
  <c r="G243" i="10"/>
  <c r="H242" i="10"/>
  <c r="H243" i="4"/>
  <c r="G244" i="4"/>
  <c r="H244" i="60" l="1"/>
  <c r="G245" i="60"/>
  <c r="G245" i="62"/>
  <c r="H244" i="62"/>
  <c r="G245" i="61"/>
  <c r="H244" i="61"/>
  <c r="H245" i="59"/>
  <c r="G246" i="59"/>
  <c r="H248" i="69"/>
  <c r="G249" i="69"/>
  <c r="G249" i="68"/>
  <c r="H248" i="68"/>
  <c r="G249" i="67"/>
  <c r="H248" i="67"/>
  <c r="G249" i="66"/>
  <c r="H248" i="66"/>
  <c r="G249" i="65"/>
  <c r="H248" i="65"/>
  <c r="G250" i="64"/>
  <c r="H250" i="64" s="1"/>
  <c r="H249" i="64"/>
  <c r="G248" i="63"/>
  <c r="H247" i="63"/>
  <c r="G249" i="58"/>
  <c r="H248" i="58"/>
  <c r="G250" i="57"/>
  <c r="H250" i="57" s="1"/>
  <c r="H249" i="57"/>
  <c r="H201" i="54"/>
  <c r="G202" i="54"/>
  <c r="G248" i="55"/>
  <c r="H247" i="55"/>
  <c r="G249" i="53"/>
  <c r="H248" i="53"/>
  <c r="H234" i="2"/>
  <c r="G235" i="2"/>
  <c r="G246" i="28"/>
  <c r="H245" i="28"/>
  <c r="H243" i="8"/>
  <c r="G244" i="8"/>
  <c r="H235" i="3"/>
  <c r="G236" i="3"/>
  <c r="H244" i="25"/>
  <c r="G245" i="25"/>
  <c r="H244" i="16"/>
  <c r="G245" i="16"/>
  <c r="H243" i="10"/>
  <c r="G244" i="10"/>
  <c r="H244" i="4"/>
  <c r="G245" i="4"/>
  <c r="G246" i="60" l="1"/>
  <c r="H245" i="60"/>
  <c r="G246" i="62"/>
  <c r="H245" i="62"/>
  <c r="H245" i="61"/>
  <c r="G246" i="61"/>
  <c r="G247" i="59"/>
  <c r="H246" i="59"/>
  <c r="G250" i="69"/>
  <c r="H250" i="69" s="1"/>
  <c r="P10" i="69" s="1"/>
  <c r="H249" i="69"/>
  <c r="G250" i="68"/>
  <c r="H250" i="68" s="1"/>
  <c r="H249" i="68"/>
  <c r="G250" i="67"/>
  <c r="H250" i="67" s="1"/>
  <c r="H249" i="67"/>
  <c r="G250" i="66"/>
  <c r="H250" i="66" s="1"/>
  <c r="H249" i="66"/>
  <c r="G250" i="65"/>
  <c r="H250" i="65" s="1"/>
  <c r="P9" i="65" s="1"/>
  <c r="H249" i="65"/>
  <c r="G249" i="63"/>
  <c r="H248" i="63"/>
  <c r="G250" i="58"/>
  <c r="H250" i="58" s="1"/>
  <c r="H249" i="58"/>
  <c r="H202" i="54"/>
  <c r="G203" i="54"/>
  <c r="H248" i="55"/>
  <c r="G249" i="55"/>
  <c r="G250" i="53"/>
  <c r="H250" i="53" s="1"/>
  <c r="P12" i="53" s="1"/>
  <c r="H249" i="53"/>
  <c r="H235" i="2"/>
  <c r="G236" i="2"/>
  <c r="H246" i="28"/>
  <c r="G247" i="28"/>
  <c r="G245" i="8"/>
  <c r="H244" i="8"/>
  <c r="H236" i="3"/>
  <c r="G237" i="3"/>
  <c r="G246" i="25"/>
  <c r="H245" i="25"/>
  <c r="G246" i="16"/>
  <c r="H245" i="16"/>
  <c r="H244" i="10"/>
  <c r="G245" i="10"/>
  <c r="G246" i="4"/>
  <c r="H245" i="4"/>
  <c r="H246" i="60" l="1"/>
  <c r="G247" i="60"/>
  <c r="G247" i="62"/>
  <c r="H246" i="62"/>
  <c r="G247" i="61"/>
  <c r="H246" i="61"/>
  <c r="G248" i="59"/>
  <c r="H247" i="59"/>
  <c r="G250" i="63"/>
  <c r="H250" i="63" s="1"/>
  <c r="H249" i="63"/>
  <c r="H203" i="54"/>
  <c r="G204" i="54"/>
  <c r="G250" i="55"/>
  <c r="H250" i="55" s="1"/>
  <c r="H249" i="55"/>
  <c r="G237" i="2"/>
  <c r="H236" i="2"/>
  <c r="H247" i="28"/>
  <c r="G248" i="28"/>
  <c r="G246" i="8"/>
  <c r="H245" i="8"/>
  <c r="H237" i="3"/>
  <c r="G238" i="3"/>
  <c r="H246" i="25"/>
  <c r="G247" i="25"/>
  <c r="H246" i="16"/>
  <c r="G247" i="16"/>
  <c r="G246" i="10"/>
  <c r="H245" i="10"/>
  <c r="H246" i="4"/>
  <c r="G247" i="4"/>
  <c r="H247" i="60" l="1"/>
  <c r="G248" i="60"/>
  <c r="G248" i="62"/>
  <c r="H247" i="62"/>
  <c r="G248" i="61"/>
  <c r="H247" i="61"/>
  <c r="G249" i="59"/>
  <c r="H248" i="59"/>
  <c r="H204" i="54"/>
  <c r="G205" i="54"/>
  <c r="H237" i="2"/>
  <c r="G238" i="2"/>
  <c r="G249" i="28"/>
  <c r="H248" i="28"/>
  <c r="G247" i="8"/>
  <c r="H246" i="8"/>
  <c r="G239" i="3"/>
  <c r="H238" i="3"/>
  <c r="H247" i="25"/>
  <c r="G248" i="25"/>
  <c r="H247" i="16"/>
  <c r="G248" i="16"/>
  <c r="H246" i="10"/>
  <c r="G247" i="10"/>
  <c r="H247" i="4"/>
  <c r="G248" i="4"/>
  <c r="H248" i="60" l="1"/>
  <c r="G249" i="60"/>
  <c r="G249" i="62"/>
  <c r="H248" i="62"/>
  <c r="G249" i="61"/>
  <c r="H248" i="61"/>
  <c r="H249" i="59"/>
  <c r="G250" i="59"/>
  <c r="H250" i="59" s="1"/>
  <c r="P10" i="59" s="1"/>
  <c r="H205" i="54"/>
  <c r="G206" i="54"/>
  <c r="H238" i="2"/>
  <c r="G239" i="2"/>
  <c r="H249" i="28"/>
  <c r="G250" i="28"/>
  <c r="H250" i="28" s="1"/>
  <c r="P13" i="28" s="1"/>
  <c r="H247" i="8"/>
  <c r="G248" i="8"/>
  <c r="G240" i="3"/>
  <c r="H239" i="3"/>
  <c r="G249" i="25"/>
  <c r="H248" i="25"/>
  <c r="G249" i="16"/>
  <c r="H248" i="16"/>
  <c r="H247" i="10"/>
  <c r="G248" i="10"/>
  <c r="G249" i="4"/>
  <c r="H248" i="4"/>
  <c r="H249" i="60" l="1"/>
  <c r="G250" i="60"/>
  <c r="H250" i="60" s="1"/>
  <c r="G250" i="62"/>
  <c r="H250" i="62" s="1"/>
  <c r="P13" i="62" s="1"/>
  <c r="H249" i="62"/>
  <c r="G250" i="61"/>
  <c r="H250" i="61" s="1"/>
  <c r="P12" i="61" s="1"/>
  <c r="H249" i="61"/>
  <c r="G207" i="54"/>
  <c r="H206" i="54"/>
  <c r="G240" i="2"/>
  <c r="H239" i="2"/>
  <c r="H248" i="8"/>
  <c r="G249" i="8"/>
  <c r="G241" i="3"/>
  <c r="H240" i="3"/>
  <c r="H249" i="25"/>
  <c r="G250" i="25"/>
  <c r="H250" i="25" s="1"/>
  <c r="P13" i="25" s="1"/>
  <c r="H249" i="16"/>
  <c r="G250" i="16"/>
  <c r="H250" i="16" s="1"/>
  <c r="G249" i="10"/>
  <c r="H248" i="10"/>
  <c r="H249" i="4"/>
  <c r="G250" i="4"/>
  <c r="H250" i="4" s="1"/>
  <c r="P13" i="4" s="1"/>
  <c r="G208" i="54" l="1"/>
  <c r="H207" i="54"/>
  <c r="P10" i="16"/>
  <c r="P13" i="16"/>
  <c r="G241" i="2"/>
  <c r="H240" i="2"/>
  <c r="G250" i="8"/>
  <c r="H250" i="8" s="1"/>
  <c r="P13" i="8" s="1"/>
  <c r="H249" i="8"/>
  <c r="H241" i="3"/>
  <c r="G242" i="3"/>
  <c r="H249" i="10"/>
  <c r="G250" i="10"/>
  <c r="H250" i="10" s="1"/>
  <c r="P13" i="10" s="1"/>
  <c r="G209" i="54" l="1"/>
  <c r="H208" i="54"/>
  <c r="H241" i="2"/>
  <c r="G242" i="2"/>
  <c r="G243" i="3"/>
  <c r="H242" i="3"/>
  <c r="H209" i="54" l="1"/>
  <c r="G210" i="54"/>
  <c r="G243" i="2"/>
  <c r="H242" i="2"/>
  <c r="G244" i="3"/>
  <c r="H243" i="3"/>
  <c r="H210" i="54" l="1"/>
  <c r="G211" i="54"/>
  <c r="H243" i="2"/>
  <c r="G244" i="2"/>
  <c r="H244" i="3"/>
  <c r="G245" i="3"/>
  <c r="H211" i="54" l="1"/>
  <c r="G212" i="54"/>
  <c r="G245" i="2"/>
  <c r="H244" i="2"/>
  <c r="G246" i="3"/>
  <c r="H245" i="3"/>
  <c r="G213" i="54" l="1"/>
  <c r="H212" i="54"/>
  <c r="G246" i="2"/>
  <c r="H245" i="2"/>
  <c r="G247" i="3"/>
  <c r="H246" i="3"/>
  <c r="G214" i="54" l="1"/>
  <c r="H213" i="54"/>
  <c r="G247" i="2"/>
  <c r="H246" i="2"/>
  <c r="H247" i="3"/>
  <c r="G248" i="3"/>
  <c r="H214" i="54" l="1"/>
  <c r="G215" i="54"/>
  <c r="H247" i="2"/>
  <c r="G248" i="2"/>
  <c r="H248" i="3"/>
  <c r="G249" i="3"/>
  <c r="G216" i="54" l="1"/>
  <c r="H215" i="54"/>
  <c r="G249" i="2"/>
  <c r="H248" i="2"/>
  <c r="H249" i="3"/>
  <c r="G250" i="3"/>
  <c r="H250" i="3" s="1"/>
  <c r="P13" i="3" s="1"/>
  <c r="G217" i="54" l="1"/>
  <c r="H216" i="54"/>
  <c r="G250" i="2"/>
  <c r="H250" i="2" s="1"/>
  <c r="H249" i="2"/>
  <c r="G218" i="54" l="1"/>
  <c r="H217" i="54"/>
  <c r="G219" i="54" l="1"/>
  <c r="H218" i="54"/>
  <c r="G220" i="54" l="1"/>
  <c r="H219" i="54"/>
  <c r="G221" i="54" l="1"/>
  <c r="H220" i="54"/>
  <c r="G222" i="54" l="1"/>
  <c r="H221" i="54"/>
  <c r="G223" i="54" l="1"/>
  <c r="H222" i="54"/>
  <c r="G224" i="54" l="1"/>
  <c r="H223" i="54"/>
  <c r="G225" i="54" l="1"/>
  <c r="H224" i="54"/>
  <c r="G226" i="54" l="1"/>
  <c r="H225" i="54"/>
  <c r="G227" i="54" l="1"/>
  <c r="H226" i="54"/>
  <c r="G228" i="54" l="1"/>
  <c r="H227" i="54"/>
  <c r="H228" i="54" l="1"/>
  <c r="G229" i="54"/>
  <c r="G230" i="54" l="1"/>
  <c r="H229" i="54"/>
  <c r="H230" i="54" l="1"/>
  <c r="G231" i="54"/>
  <c r="H231" i="54" l="1"/>
  <c r="G232" i="54"/>
  <c r="H232" i="54" l="1"/>
  <c r="G233" i="54"/>
  <c r="H233" i="54" l="1"/>
  <c r="G234" i="54"/>
  <c r="H234" i="54" l="1"/>
  <c r="G235" i="54"/>
  <c r="H235" i="54" l="1"/>
  <c r="G236" i="54"/>
  <c r="H236" i="54" l="1"/>
  <c r="G237" i="54"/>
  <c r="G238" i="54" l="1"/>
  <c r="H237" i="54"/>
  <c r="G239" i="54" l="1"/>
  <c r="H238" i="54"/>
  <c r="G240" i="54" l="1"/>
  <c r="H239" i="54"/>
  <c r="H240" i="54" l="1"/>
  <c r="G241" i="54"/>
  <c r="G242" i="54" l="1"/>
  <c r="H241" i="54"/>
  <c r="G243" i="54" l="1"/>
  <c r="H242" i="54"/>
  <c r="H243" i="54" l="1"/>
  <c r="G244" i="54"/>
  <c r="G245" i="54" l="1"/>
  <c r="H244" i="54"/>
  <c r="H245" i="54" l="1"/>
  <c r="G246" i="54"/>
  <c r="G247" i="54" l="1"/>
  <c r="H246" i="54"/>
  <c r="H247" i="54" l="1"/>
  <c r="G248" i="54"/>
  <c r="H248" i="54" l="1"/>
  <c r="G249" i="54"/>
  <c r="G250" i="54" l="1"/>
  <c r="H250" i="54" s="1"/>
  <c r="H249" i="54"/>
  <c r="P16" i="54" l="1"/>
  <c r="P13" i="54"/>
  <c r="P4" i="54"/>
  <c r="P11" i="54"/>
  <c r="P5" i="54"/>
  <c r="P9" i="54"/>
  <c r="P7" i="54"/>
  <c r="P10" i="54"/>
  <c r="P8" i="54"/>
  <c r="P12" i="54"/>
  <c r="P6" i="54"/>
</calcChain>
</file>

<file path=xl/sharedStrings.xml><?xml version="1.0" encoding="utf-8"?>
<sst xmlns="http://schemas.openxmlformats.org/spreadsheetml/2006/main" count="5000" uniqueCount="239">
  <si>
    <t>Description</t>
  </si>
  <si>
    <t>Symbol</t>
  </si>
  <si>
    <t>Value</t>
  </si>
  <si>
    <t>Unit</t>
  </si>
  <si>
    <t>Comment</t>
  </si>
  <si>
    <t>A</t>
  </si>
  <si>
    <r>
      <t>cm</t>
    </r>
    <r>
      <rPr>
        <vertAlign val="superscript"/>
        <sz val="8"/>
        <color theme="1"/>
        <rFont val="Calibri"/>
        <family val="2"/>
        <scheme val="minor"/>
      </rPr>
      <t>2</t>
    </r>
  </si>
  <si>
    <r>
      <t>A</t>
    </r>
    <r>
      <rPr>
        <vertAlign val="subscript"/>
        <sz val="8"/>
        <color theme="1"/>
        <rFont val="Calibri"/>
        <family val="2"/>
        <scheme val="minor"/>
      </rPr>
      <t>y</t>
    </r>
  </si>
  <si>
    <r>
      <t>A</t>
    </r>
    <r>
      <rPr>
        <vertAlign val="subscript"/>
        <sz val="8"/>
        <color theme="1"/>
        <rFont val="Calibri"/>
        <family val="2"/>
        <scheme val="minor"/>
      </rPr>
      <t>z</t>
    </r>
  </si>
  <si>
    <r>
      <t>y</t>
    </r>
    <r>
      <rPr>
        <vertAlign val="subscript"/>
        <sz val="8"/>
        <color theme="1"/>
        <rFont val="Calibri"/>
        <family val="2"/>
        <scheme val="minor"/>
      </rPr>
      <t>C,0</t>
    </r>
  </si>
  <si>
    <t>cm</t>
  </si>
  <si>
    <r>
      <t>z</t>
    </r>
    <r>
      <rPr>
        <vertAlign val="subscript"/>
        <sz val="8"/>
        <color theme="1"/>
        <rFont val="Calibri"/>
        <family val="2"/>
        <scheme val="minor"/>
      </rPr>
      <t>C,0</t>
    </r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</si>
  <si>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</si>
  <si>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cm</t>
    </r>
    <r>
      <rPr>
        <vertAlign val="superscript"/>
        <sz val="8"/>
        <color theme="1"/>
        <rFont val="Calibri"/>
        <family val="2"/>
        <scheme val="minor"/>
      </rPr>
      <t>4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</si>
  <si>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</si>
  <si>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t>a</t>
  </si>
  <si>
    <t>°</t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</si>
  <si>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</si>
  <si>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I</t>
    </r>
    <r>
      <rPr>
        <vertAlign val="subscript"/>
        <sz val="8"/>
        <color theme="1"/>
        <rFont val="Calibri"/>
        <family val="2"/>
        <scheme val="minor"/>
      </rPr>
      <t>p,M</t>
    </r>
  </si>
  <si>
    <t>about shear center M</t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</si>
  <si>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</si>
  <si>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</si>
  <si>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</si>
  <si>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t>G</t>
  </si>
  <si>
    <t>kg/m</t>
  </si>
  <si>
    <t>U</t>
  </si>
  <si>
    <t>J</t>
  </si>
  <si>
    <r>
      <t>J</t>
    </r>
    <r>
      <rPr>
        <vertAlign val="subscript"/>
        <sz val="8"/>
        <color theme="1"/>
        <rFont val="Calibri"/>
        <family val="2"/>
        <scheme val="minor"/>
      </rPr>
      <t>s</t>
    </r>
  </si>
  <si>
    <r>
      <t>y</t>
    </r>
    <r>
      <rPr>
        <vertAlign val="subscript"/>
        <sz val="8"/>
        <color theme="1"/>
        <rFont val="Calibri"/>
        <family val="2"/>
        <scheme val="minor"/>
      </rPr>
      <t>M,0</t>
    </r>
  </si>
  <si>
    <r>
      <t>z</t>
    </r>
    <r>
      <rPr>
        <vertAlign val="subscript"/>
        <sz val="8"/>
        <color theme="1"/>
        <rFont val="Calibri"/>
        <family val="2"/>
        <scheme val="minor"/>
      </rPr>
      <t>M,0</t>
    </r>
  </si>
  <si>
    <r>
      <t>y</t>
    </r>
    <r>
      <rPr>
        <vertAlign val="subscript"/>
        <sz val="8"/>
        <color theme="1"/>
        <rFont val="Calibri"/>
        <family val="2"/>
        <scheme val="minor"/>
      </rPr>
      <t>M</t>
    </r>
  </si>
  <si>
    <r>
      <t>z</t>
    </r>
    <r>
      <rPr>
        <vertAlign val="subscript"/>
        <sz val="8"/>
        <color theme="1"/>
        <rFont val="Calibri"/>
        <family val="2"/>
        <scheme val="minor"/>
      </rPr>
      <t>M</t>
    </r>
  </si>
  <si>
    <r>
      <t>cm</t>
    </r>
    <r>
      <rPr>
        <vertAlign val="superscript"/>
        <sz val="8"/>
        <color theme="1"/>
        <rFont val="Calibri"/>
        <family val="2"/>
        <scheme val="minor"/>
      </rPr>
      <t>6</t>
    </r>
  </si>
  <si>
    <r>
      <t>S</t>
    </r>
    <r>
      <rPr>
        <vertAlign val="subscript"/>
        <sz val="8"/>
        <color theme="1"/>
        <rFont val="Calibri"/>
        <family val="2"/>
        <scheme val="minor"/>
      </rPr>
      <t>y,max</t>
    </r>
  </si>
  <si>
    <r>
      <t>cm</t>
    </r>
    <r>
      <rPr>
        <vertAlign val="superscript"/>
        <sz val="8"/>
        <color theme="1"/>
        <rFont val="Calibri"/>
        <family val="2"/>
        <scheme val="minor"/>
      </rPr>
      <t>3</t>
    </r>
  </si>
  <si>
    <r>
      <t>S</t>
    </r>
    <r>
      <rPr>
        <vertAlign val="subscript"/>
        <sz val="8"/>
        <color theme="1"/>
        <rFont val="Calibri"/>
        <family val="2"/>
        <scheme val="minor"/>
      </rPr>
      <t>y,min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</si>
  <si>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z,max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</si>
  <si>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z,min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</si>
  <si>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t</t>
    </r>
  </si>
  <si>
    <r>
      <t>l</t>
    </r>
    <r>
      <rPr>
        <vertAlign val="subscript"/>
        <sz val="8"/>
        <color theme="1"/>
        <rFont val="Calibri"/>
        <family val="2"/>
        <scheme val="minor"/>
      </rPr>
      <t>M</t>
    </r>
  </si>
  <si>
    <t>1/cm</t>
  </si>
  <si>
    <r>
      <t>M</t>
    </r>
    <r>
      <rPr>
        <vertAlign val="subscript"/>
        <sz val="8"/>
        <color theme="1"/>
        <rFont val="Calibri"/>
        <family val="2"/>
        <scheme val="minor"/>
      </rPr>
      <t>pl,y,d</t>
    </r>
  </si>
  <si>
    <t>kNm</t>
  </si>
  <si>
    <r>
      <t>M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</si>
  <si>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</si>
  <si>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</si>
  <si>
    <r>
      <t>A</t>
    </r>
    <r>
      <rPr>
        <vertAlign val="subscript"/>
        <sz val="8"/>
        <color theme="1"/>
        <rFont val="Calibri"/>
        <family val="2"/>
        <scheme val="minor"/>
      </rPr>
      <t>pl,y</t>
    </r>
  </si>
  <si>
    <r>
      <t>A</t>
    </r>
    <r>
      <rPr>
        <vertAlign val="subscript"/>
        <sz val="8"/>
        <color theme="1"/>
        <rFont val="Calibri"/>
        <family val="2"/>
        <scheme val="minor"/>
      </rPr>
      <t>pl,z</t>
    </r>
  </si>
  <si>
    <r>
      <t>f</t>
    </r>
    <r>
      <rPr>
        <vertAlign val="subscript"/>
        <sz val="8"/>
        <color theme="1"/>
        <rFont val="Calibri"/>
        <family val="2"/>
        <scheme val="minor"/>
      </rPr>
      <t>y,0</t>
    </r>
  </si>
  <si>
    <r>
      <t>f</t>
    </r>
    <r>
      <rPr>
        <vertAlign val="subscript"/>
        <sz val="8"/>
        <color theme="1"/>
        <rFont val="Calibri"/>
        <family val="2"/>
        <scheme val="minor"/>
      </rPr>
      <t>z,0</t>
    </r>
  </si>
  <si>
    <r>
      <t>V</t>
    </r>
    <r>
      <rPr>
        <vertAlign val="subscript"/>
        <sz val="8"/>
        <color theme="1"/>
        <rFont val="Calibri"/>
        <family val="2"/>
        <scheme val="minor"/>
      </rPr>
      <t>pl,y,d</t>
    </r>
  </si>
  <si>
    <t>kN</t>
  </si>
  <si>
    <r>
      <t>V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</si>
  <si>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N</t>
    </r>
    <r>
      <rPr>
        <vertAlign val="subscript"/>
        <sz val="8"/>
        <color theme="1"/>
        <rFont val="Calibri"/>
        <family val="2"/>
        <scheme val="minor"/>
      </rPr>
      <t>pl,d</t>
    </r>
  </si>
  <si>
    <t>c</t>
  </si>
  <si>
    <t>user-defined</t>
  </si>
  <si>
    <t>Buckling Class</t>
  </si>
  <si>
    <t>b</t>
  </si>
  <si>
    <t>MA</t>
  </si>
  <si>
    <t>Section Type</t>
  </si>
  <si>
    <t>PA</t>
  </si>
  <si>
    <t>Cross-sectional area - A</t>
  </si>
  <si>
    <t>Principal moments of inertia - Iu</t>
  </si>
  <si>
    <t>Moments of inertia - Iy</t>
  </si>
  <si>
    <t>Principal moments of inertia - Iv</t>
  </si>
  <si>
    <t>Moments of inertia - Iz</t>
  </si>
  <si>
    <t>Principal radii of gyration - iu</t>
  </si>
  <si>
    <t>Radii of gyration - iy</t>
  </si>
  <si>
    <t>Principal radii of gyration - iv</t>
  </si>
  <si>
    <t>Radii of gyration - iz</t>
  </si>
  <si>
    <t>Location of the shear center - yM</t>
  </si>
  <si>
    <t>Inclination of principal axes - a</t>
  </si>
  <si>
    <t>*</t>
  </si>
  <si>
    <t>Section moduli - Su,min</t>
  </si>
  <si>
    <t>Section moduli - Sy,min</t>
  </si>
  <si>
    <t>Section moduli - Sv,min</t>
  </si>
  <si>
    <t>Section moduli - Sz,min</t>
  </si>
  <si>
    <t>Torsional constant - J</t>
  </si>
  <si>
    <t>St. Venant Torsion Constant: It</t>
  </si>
  <si>
    <t>Warping Constants - Io,M</t>
  </si>
  <si>
    <r>
      <t>Effective Section Area: A</t>
    </r>
    <r>
      <rPr>
        <vertAlign val="subscript"/>
        <sz val="8"/>
        <color rgb="FFFF0000"/>
        <rFont val="Arial"/>
        <family val="2"/>
      </rPr>
      <t>eff</t>
    </r>
  </si>
  <si>
    <r>
      <t>I</t>
    </r>
    <r>
      <rPr>
        <vertAlign val="subscript"/>
        <sz val="8"/>
        <color rgb="FFFF0000"/>
        <rFont val="Arial"/>
        <family val="2"/>
      </rPr>
      <t>yy</t>
    </r>
  </si>
  <si>
    <r>
      <t>I</t>
    </r>
    <r>
      <rPr>
        <vertAlign val="subscript"/>
        <sz val="8"/>
        <color rgb="FFFF0000"/>
        <rFont val="Arial"/>
        <family val="2"/>
      </rPr>
      <t>zz</t>
    </r>
  </si>
  <si>
    <r>
      <t>i</t>
    </r>
    <r>
      <rPr>
        <vertAlign val="subscript"/>
        <sz val="8"/>
        <color rgb="FFFF0000"/>
        <rFont val="Arial"/>
        <family val="2"/>
      </rPr>
      <t>yy</t>
    </r>
  </si>
  <si>
    <r>
      <t>i</t>
    </r>
    <r>
      <rPr>
        <vertAlign val="subscript"/>
        <sz val="8"/>
        <color rgb="FFFF0000"/>
        <rFont val="Arial"/>
        <family val="2"/>
      </rPr>
      <t>zz</t>
    </r>
  </si>
  <si>
    <r>
      <t>Effective section modulus: w</t>
    </r>
    <r>
      <rPr>
        <vertAlign val="subscript"/>
        <sz val="8"/>
        <color rgb="FFFF0000"/>
        <rFont val="Arial"/>
        <family val="2"/>
      </rPr>
      <t>eff,y</t>
    </r>
  </si>
  <si>
    <r>
      <t>Effective section modulus: w</t>
    </r>
    <r>
      <rPr>
        <vertAlign val="subscript"/>
        <sz val="8"/>
        <color rgb="FFFF0000"/>
        <rFont val="Arial"/>
        <family val="2"/>
      </rPr>
      <t>eff,z</t>
    </r>
  </si>
  <si>
    <r>
      <t>Distance SC to CG: y</t>
    </r>
    <r>
      <rPr>
        <vertAlign val="subscript"/>
        <sz val="8"/>
        <color rgb="FFFF0000"/>
        <rFont val="Arial"/>
        <family val="2"/>
      </rPr>
      <t>M</t>
    </r>
  </si>
  <si>
    <r>
      <t>Warping Constant (SC): I</t>
    </r>
    <r>
      <rPr>
        <vertAlign val="subscript"/>
        <sz val="8"/>
        <color rgb="FFFF0000"/>
        <rFont val="Arial"/>
        <family val="2"/>
      </rPr>
      <t>w</t>
    </r>
  </si>
  <si>
    <r>
      <t>f</t>
    </r>
    <r>
      <rPr>
        <vertAlign val="subscript"/>
        <sz val="8"/>
        <color rgb="FFFF0000"/>
        <rFont val="Arial"/>
        <family val="2"/>
      </rPr>
      <t>y,k</t>
    </r>
  </si>
  <si>
    <r>
      <rPr>
        <sz val="8"/>
        <color rgb="FFFF0000"/>
        <rFont val="Symbol"/>
        <family val="1"/>
        <charset val="2"/>
      </rPr>
      <t>a</t>
    </r>
    <r>
      <rPr>
        <sz val="8"/>
        <color rgb="FFFF0000"/>
        <rFont val="Arial"/>
        <family val="2"/>
      </rPr>
      <t xml:space="preserve"> </t>
    </r>
  </si>
  <si>
    <t>incl. inner side of cells</t>
  </si>
  <si>
    <r>
      <t>BC</t>
    </r>
    <r>
      <rPr>
        <vertAlign val="subscript"/>
        <sz val="8"/>
        <color theme="1"/>
        <rFont val="Calibri"/>
        <family val="2"/>
        <scheme val="minor"/>
      </rPr>
      <t>y/u</t>
    </r>
  </si>
  <si>
    <r>
      <t>BC</t>
    </r>
    <r>
      <rPr>
        <vertAlign val="subscript"/>
        <sz val="8"/>
        <color theme="1"/>
        <rFont val="Calibri"/>
        <family val="2"/>
        <scheme val="minor"/>
      </rPr>
      <t>z/v</t>
    </r>
  </si>
  <si>
    <t>Cross-sectional area</t>
  </si>
  <si>
    <r>
      <t>A</t>
    </r>
    <r>
      <rPr>
        <vertAlign val="subscript"/>
        <sz val="8"/>
        <color theme="1"/>
        <rFont val="Calibri"/>
        <family val="2"/>
        <scheme val="minor"/>
      </rPr>
      <t>geom</t>
    </r>
  </si>
  <si>
    <t>geometric cross-sectional area (not ideal)</t>
  </si>
  <si>
    <t>Shear areas</t>
  </si>
  <si>
    <t>Centroid position</t>
  </si>
  <si>
    <t>relative to zero point</t>
  </si>
  <si>
    <t>Moments of inertia</t>
  </si>
  <si>
    <t>about centroidal axes y, z</t>
  </si>
  <si>
    <t>Inclination of principal axes</t>
  </si>
  <si>
    <t>counterclockwise</t>
  </si>
  <si>
    <t>Polar moments of inertia</t>
  </si>
  <si>
    <t>Radii of gyration</t>
  </si>
  <si>
    <t>relative to centroid C</t>
  </si>
  <si>
    <t>Polar radii of gyration</t>
  </si>
  <si>
    <r>
      <t>r</t>
    </r>
    <r>
      <rPr>
        <vertAlign val="subscript"/>
        <sz val="8"/>
        <color theme="1"/>
        <rFont val="Calibri"/>
        <family val="2"/>
        <scheme val="minor"/>
      </rPr>
      <t>p,M</t>
    </r>
  </si>
  <si>
    <t>Warping radius of gyration</t>
  </si>
  <si>
    <r>
      <t>r</t>
    </r>
    <r>
      <rPr>
        <vertAlign val="subscript"/>
        <sz val="8"/>
        <color theme="1"/>
        <rFont val="Calibri"/>
        <family val="2"/>
        <scheme val="minor"/>
      </rPr>
      <t>w,M</t>
    </r>
  </si>
  <si>
    <t>Cross-section weight</t>
  </si>
  <si>
    <t>Cross-section perimeter</t>
  </si>
  <si>
    <t>Torsional constant</t>
  </si>
  <si>
    <t>calculated analytically</t>
  </si>
  <si>
    <t>Secondary torsional constant</t>
  </si>
  <si>
    <t>Location of the shear center</t>
  </si>
  <si>
    <t>Warping constants</t>
  </si>
  <si>
    <r>
      <t>I</t>
    </r>
    <r>
      <rPr>
        <vertAlign val="subscript"/>
        <sz val="8"/>
        <color theme="1"/>
        <rFont val="Calibri"/>
        <family val="2"/>
        <scheme val="minor"/>
      </rPr>
      <t>@v,C</t>
    </r>
  </si>
  <si>
    <r>
      <t>I</t>
    </r>
    <r>
      <rPr>
        <vertAlign val="subscript"/>
        <sz val="8"/>
        <color theme="1"/>
        <rFont val="Calibri"/>
        <family val="2"/>
        <scheme val="minor"/>
      </rPr>
      <t>@v,M</t>
    </r>
  </si>
  <si>
    <t>Auxiliary value for warp rotation</t>
  </si>
  <si>
    <r>
      <t>r</t>
    </r>
    <r>
      <rPr>
        <vertAlign val="subscript"/>
        <sz val="8"/>
        <color theme="1"/>
        <rFont val="Calibri"/>
        <family val="2"/>
        <scheme val="minor"/>
      </rPr>
      <t>@v,M</t>
    </r>
  </si>
  <si>
    <t>Section moduli</t>
  </si>
  <si>
    <t>Warping section moduli</t>
  </si>
  <si>
    <r>
      <t>S</t>
    </r>
    <r>
      <rPr>
        <vertAlign val="subscript"/>
        <sz val="8"/>
        <color theme="1"/>
        <rFont val="Calibri"/>
        <family val="2"/>
        <scheme val="minor"/>
      </rPr>
      <t>@v,M,max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</si>
  <si>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@v,M,min</t>
    </r>
  </si>
  <si>
    <t>Torsional section modulus</t>
  </si>
  <si>
    <t>Stability parameters</t>
  </si>
  <si>
    <t>Reduction factor</t>
  </si>
  <si>
    <t>Max. plastic bending moments</t>
  </si>
  <si>
    <t>Max. plastic section moduli</t>
  </si>
  <si>
    <t>Plastic shear areas</t>
  </si>
  <si>
    <t>Position of area bisecting axes</t>
  </si>
  <si>
    <t>Plastic shear forces</t>
  </si>
  <si>
    <t>Plastic axial force</t>
  </si>
  <si>
    <t>Buckling curves</t>
  </si>
  <si>
    <t>Warping Constants - I@v,M</t>
  </si>
  <si>
    <t>in distance 60.0 mm</t>
  </si>
  <si>
    <t>in distance -60.0 mm</t>
  </si>
  <si>
    <r>
      <t>r</t>
    </r>
    <r>
      <rPr>
        <vertAlign val="subscript"/>
        <sz val="8"/>
        <color theme="1"/>
        <rFont val="Calibri"/>
        <family val="2"/>
        <scheme val="minor"/>
      </rPr>
      <t>v</t>
    </r>
  </si>
  <si>
    <r>
      <t>r</t>
    </r>
    <r>
      <rPr>
        <vertAlign val="subscript"/>
        <sz val="8"/>
        <color theme="1"/>
        <rFont val="Calibri"/>
        <family val="2"/>
        <scheme val="minor"/>
      </rPr>
      <t>M,u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</si>
  <si>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1.30</t>
    </r>
  </si>
  <si>
    <t>in distance 21.6 mm</t>
  </si>
  <si>
    <t>in distance -39.4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</si>
  <si>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1.27</t>
    </r>
  </si>
  <si>
    <t>in distance 21.2 mm</t>
  </si>
  <si>
    <t>in distance -39.8 mm</t>
  </si>
  <si>
    <t>in node 2</t>
  </si>
  <si>
    <t>in distance 18.8 mm</t>
  </si>
  <si>
    <t>in distance -42.2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</si>
  <si>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1.29</t>
    </r>
  </si>
  <si>
    <t>in distance 19.6 mm</t>
  </si>
  <si>
    <t>in distance 24.5 mm</t>
  </si>
  <si>
    <t>in distance 24.0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</si>
  <si>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1.26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</si>
  <si>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1.31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</si>
  <si>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1.32</t>
    </r>
  </si>
  <si>
    <t>in distance 24.2 mm</t>
  </si>
  <si>
    <t>in distance -38.4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</si>
  <si>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1.28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</si>
  <si>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1.61</t>
    </r>
  </si>
  <si>
    <t>in node 81</t>
  </si>
  <si>
    <t>in node 80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</si>
  <si>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1.33</t>
    </r>
  </si>
  <si>
    <t>in distance 45.0 mm</t>
  </si>
  <si>
    <t>in distance -45.0 mm</t>
  </si>
  <si>
    <t>in node 42</t>
  </si>
  <si>
    <t>in node 21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</si>
  <si>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1.96</t>
    </r>
  </si>
  <si>
    <t>in node 44</t>
  </si>
  <si>
    <t>in node 22</t>
  </si>
  <si>
    <t>in node 20</t>
  </si>
  <si>
    <t>in distance 21.1 mm</t>
  </si>
  <si>
    <t>in distance -39.9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</si>
  <si>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1.92</t>
    </r>
  </si>
  <si>
    <t>in distance 20.6 mm</t>
  </si>
  <si>
    <t>in distance -40.4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</si>
  <si>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1.93</t>
    </r>
  </si>
  <si>
    <t>in distance 19.3 mm</t>
  </si>
  <si>
    <t>in distance -41.7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</si>
  <si>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1.98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</si>
  <si>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1.89</t>
    </r>
  </si>
  <si>
    <t>in distance -41.4 mm</t>
  </si>
  <si>
    <t>in distance 19.7 mm</t>
  </si>
  <si>
    <t>in distance -41.3 mm</t>
  </si>
  <si>
    <t>in distance -38.6 mm</t>
  </si>
  <si>
    <t>in node 106</t>
  </si>
  <si>
    <t>in node 74</t>
  </si>
  <si>
    <t>in distance -38.1 mm</t>
  </si>
  <si>
    <t>in node 108</t>
  </si>
  <si>
    <t>in node 76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</si>
  <si>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1.57</t>
    </r>
  </si>
  <si>
    <t>in distance -38.8 mm</t>
  </si>
  <si>
    <t>in node 104</t>
  </si>
  <si>
    <t>in node 72</t>
  </si>
  <si>
    <t>in distance 24.7 mm</t>
  </si>
  <si>
    <t>in distance -38.3 mm</t>
  </si>
  <si>
    <t>in distance -39.0 mm</t>
  </si>
  <si>
    <t>in node 64</t>
  </si>
  <si>
    <t>in distance 25.1 mm</t>
  </si>
  <si>
    <t>in node 68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</si>
  <si>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1.34</t>
    </r>
  </si>
  <si>
    <t>in distance -60.2 mm</t>
  </si>
  <si>
    <t>in distance 60.2 mm</t>
  </si>
  <si>
    <t>in distance 22.3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</si>
  <si>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1.71</t>
    </r>
  </si>
  <si>
    <t>in distance 22.5 mm</t>
  </si>
  <si>
    <t>in distance 22.6 mm</t>
  </si>
  <si>
    <t>in node 110</t>
  </si>
  <si>
    <t>in node 78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</si>
  <si>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1.70</t>
    </r>
  </si>
  <si>
    <t>in distance 22.9 mm</t>
  </si>
  <si>
    <t>in node 54</t>
  </si>
  <si>
    <t>in distance -40.8 mm</t>
  </si>
  <si>
    <t>in distance -41.0 mm</t>
  </si>
  <si>
    <t>in node 50</t>
  </si>
  <si>
    <t>in distance 22.2 mm</t>
  </si>
  <si>
    <t>in node 82</t>
  </si>
  <si>
    <t>in node 86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</si>
  <si>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1.69</t>
    </r>
  </si>
  <si>
    <t>in distance 22.0 mm</t>
  </si>
  <si>
    <t>in distance -40.6 mm</t>
  </si>
  <si>
    <t>in distance -40.3 mm</t>
  </si>
  <si>
    <t>in distance 41.1 mm</t>
  </si>
  <si>
    <t>in distance -64.4 mm</t>
  </si>
  <si>
    <t>in node 169</t>
  </si>
  <si>
    <t>in node 168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</si>
  <si>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1.67</t>
    </r>
  </si>
  <si>
    <t>in distance 41.4 mm</t>
  </si>
  <si>
    <t>in distance -64.6 mm</t>
  </si>
  <si>
    <t>in distance 41.3 mm</t>
  </si>
  <si>
    <t>in distance -64.5 mm</t>
  </si>
  <si>
    <t>in distance 41.7 mm</t>
  </si>
  <si>
    <t>in distance -64.8 mm</t>
  </si>
  <si>
    <t>in node 161</t>
  </si>
  <si>
    <t>in node 176</t>
  </si>
  <si>
    <t>in distance 42.0 mm</t>
  </si>
  <si>
    <t>in distance -65.0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</si>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</sst>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  <font>
      <vertAlign val="subscript"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0000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1" applyFont="1" applyAlignment="1" applyProtection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/>
    </xf>
    <xf numFmtId="2" fontId="2" fillId="2" borderId="3" xfId="0" applyNumberFormat="1" applyFont="1" applyFill="1" applyBorder="1" applyAlignment="1">
      <alignment horizontal="right"/>
    </xf>
    <xf numFmtId="49" fontId="5" fillId="2" borderId="3" xfId="0" applyNumberFormat="1" applyFont="1" applyFill="1" applyBorder="1" applyAlignment="1">
      <alignment horizontal="left"/>
    </xf>
    <xf numFmtId="165" fontId="2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49" fontId="2" fillId="2" borderId="3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Q250"/>
  <sheetViews>
    <sheetView zoomScale="85" zoomScaleNormal="85" workbookViewId="0">
      <selection activeCell="O2" sqref="O2:P2"/>
    </sheetView>
  </sheetViews>
  <sheetFormatPr defaultColWidth="9.1328125"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  <col min="17" max="17" width="5.3984375" style="2" bestFit="1" customWidth="1"/>
    <col min="18" max="16384" width="9.1328125" style="3"/>
  </cols>
  <sheetData>
    <row r="1" spans="1:17" ht="10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7" ht="11.65" x14ac:dyDescent="0.35">
      <c r="A2" s="12" t="s">
        <v>94</v>
      </c>
      <c r="B2" s="12" t="s">
        <v>5</v>
      </c>
      <c r="C2" s="13">
        <v>3.18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3.18</v>
      </c>
      <c r="O2" s="20" t="s">
        <v>58</v>
      </c>
      <c r="P2" s="20"/>
    </row>
    <row r="3" spans="1:17" ht="12.4" x14ac:dyDescent="0.45">
      <c r="A3" s="12"/>
      <c r="B3" s="12" t="s">
        <v>95</v>
      </c>
      <c r="C3" s="13">
        <v>3.18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3.18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UP0002-eff</v>
      </c>
      <c r="P3" s="4" t="str">
        <f ca="1">IF(LEFT(O3,11)="SHAPE-THIN ",MID(O3,12,50)&amp;"-"&amp;O2,O3&amp;"-"&amp;O2)</f>
        <v>UP0002-eff-MA</v>
      </c>
      <c r="Q3" s="7"/>
    </row>
    <row r="4" spans="1:17" ht="12.4" x14ac:dyDescent="0.45">
      <c r="A4" s="12" t="s">
        <v>97</v>
      </c>
      <c r="B4" s="12" t="s">
        <v>7</v>
      </c>
      <c r="C4" s="13">
        <v>0.82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0.82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3.18</v>
      </c>
    </row>
    <row r="5" spans="1:17" ht="12.4" x14ac:dyDescent="0.45">
      <c r="A5" s="12"/>
      <c r="B5" s="12" t="s">
        <v>8</v>
      </c>
      <c r="C5" s="13">
        <v>0.44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0.44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33.65</v>
      </c>
    </row>
    <row r="6" spans="1:17" ht="12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10.59</v>
      </c>
    </row>
    <row r="7" spans="1:17" ht="12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3.25</v>
      </c>
    </row>
    <row r="8" spans="1:17" ht="12.4" x14ac:dyDescent="0.45">
      <c r="A8" s="12" t="s">
        <v>100</v>
      </c>
      <c r="B8" s="12" t="s">
        <v>12</v>
      </c>
      <c r="C8" s="13">
        <v>33.65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33.65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1.82</v>
      </c>
    </row>
    <row r="9" spans="1:17" ht="12.4" x14ac:dyDescent="0.45">
      <c r="A9" s="12"/>
      <c r="B9" s="12" t="s">
        <v>14</v>
      </c>
      <c r="C9" s="13">
        <v>10.59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10.59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7.47</v>
      </c>
    </row>
    <row r="10" spans="1:17" ht="11.65" x14ac:dyDescent="0.3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2.65</v>
      </c>
    </row>
    <row r="11" spans="1:17" ht="12.4" x14ac:dyDescent="0.45">
      <c r="A11" s="12" t="s">
        <v>104</v>
      </c>
      <c r="B11" s="12" t="s">
        <v>17</v>
      </c>
      <c r="C11" s="13">
        <v>44.24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44.24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7" ht="12.4" x14ac:dyDescent="0.45">
      <c r="A12" s="12"/>
      <c r="B12" s="12" t="s">
        <v>18</v>
      </c>
      <c r="C12" s="13">
        <v>111.12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111.12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4.59</v>
      </c>
    </row>
    <row r="13" spans="1:17" ht="12" x14ac:dyDescent="0.45">
      <c r="A13" s="12" t="s">
        <v>105</v>
      </c>
      <c r="B13" s="12" t="s">
        <v>20</v>
      </c>
      <c r="C13" s="13">
        <v>3.25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3.25</v>
      </c>
      <c r="L13" s="4" t="s">
        <v>88</v>
      </c>
      <c r="M13" s="4" t="s">
        <v>79</v>
      </c>
      <c r="N13" s="4" t="s">
        <v>79</v>
      </c>
      <c r="O13" s="8" t="str">
        <f t="shared" si="4"/>
        <v>Warping Constants - Io,M</v>
      </c>
      <c r="P13" s="8">
        <v>268.68</v>
      </c>
    </row>
    <row r="14" spans="1:17" ht="12" x14ac:dyDescent="0.45">
      <c r="A14" s="12"/>
      <c r="B14" s="12" t="s">
        <v>21</v>
      </c>
      <c r="C14" s="13">
        <v>1.82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1.82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7" ht="12" x14ac:dyDescent="0.45">
      <c r="A15" s="12" t="s">
        <v>107</v>
      </c>
      <c r="B15" s="12" t="s">
        <v>22</v>
      </c>
      <c r="C15" s="13">
        <v>3.73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3.73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7" ht="12" x14ac:dyDescent="0.45">
      <c r="A16" s="12"/>
      <c r="B16" s="12" t="s">
        <v>108</v>
      </c>
      <c r="C16" s="13">
        <v>5.91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5.91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ht="12" x14ac:dyDescent="0.45">
      <c r="A17" s="12" t="s">
        <v>109</v>
      </c>
      <c r="B17" s="12" t="s">
        <v>110</v>
      </c>
      <c r="C17" s="13">
        <v>1.67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1.67</v>
      </c>
    </row>
    <row r="18" spans="1:10" ht="10.5" x14ac:dyDescent="0.35">
      <c r="A18" s="12" t="s">
        <v>111</v>
      </c>
      <c r="B18" s="12" t="s">
        <v>23</v>
      </c>
      <c r="C18" s="15">
        <v>2.4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2.4</v>
      </c>
    </row>
    <row r="19" spans="1:10" ht="10.5" x14ac:dyDescent="0.35">
      <c r="A19" s="12" t="s">
        <v>112</v>
      </c>
      <c r="B19" s="12" t="s">
        <v>25</v>
      </c>
      <c r="C19" s="13">
        <v>47.01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47.01</v>
      </c>
    </row>
    <row r="20" spans="1:10" ht="11.65" x14ac:dyDescent="0.3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ht="12.4" x14ac:dyDescent="0.45">
      <c r="A21" s="12" t="s">
        <v>115</v>
      </c>
      <c r="B21" s="12" t="s">
        <v>27</v>
      </c>
      <c r="C21" s="13">
        <v>23.3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23.3</v>
      </c>
    </row>
    <row r="22" spans="1:10" ht="12" x14ac:dyDescent="0.45">
      <c r="A22" s="12" t="s">
        <v>116</v>
      </c>
      <c r="B22" s="12" t="s">
        <v>28</v>
      </c>
      <c r="C22" s="13">
        <v>4.59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4.59</v>
      </c>
    </row>
    <row r="23" spans="1:10" ht="12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ht="12" x14ac:dyDescent="0.45">
      <c r="A24" s="12"/>
      <c r="B24" s="12" t="s">
        <v>30</v>
      </c>
      <c r="C24" s="13">
        <v>4.59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4.59</v>
      </c>
    </row>
    <row r="25" spans="1:10" ht="12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ht="12.4" x14ac:dyDescent="0.45">
      <c r="A26" s="12" t="s">
        <v>117</v>
      </c>
      <c r="B26" s="12" t="s">
        <v>118</v>
      </c>
      <c r="C26" s="13">
        <v>1015.87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1015.87</v>
      </c>
    </row>
    <row r="27" spans="1:10" ht="12.4" x14ac:dyDescent="0.45">
      <c r="A27" s="12"/>
      <c r="B27" s="12" t="s">
        <v>119</v>
      </c>
      <c r="C27" s="13">
        <v>308.31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308.31</v>
      </c>
    </row>
    <row r="28" spans="1:10" ht="12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ht="12.4" x14ac:dyDescent="0.45">
      <c r="A29" s="12" t="s">
        <v>122</v>
      </c>
      <c r="B29" s="12" t="s">
        <v>33</v>
      </c>
      <c r="C29" s="13">
        <v>7.47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7.47</v>
      </c>
    </row>
    <row r="30" spans="1:10" ht="12.4" x14ac:dyDescent="0.45">
      <c r="A30" s="12"/>
      <c r="B30" s="12" t="s">
        <v>35</v>
      </c>
      <c r="C30" s="13">
        <v>-7.47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-7.47</v>
      </c>
    </row>
    <row r="31" spans="1:10" ht="12.4" x14ac:dyDescent="0.45">
      <c r="A31" s="12"/>
      <c r="B31" s="12" t="s">
        <v>36</v>
      </c>
      <c r="C31" s="13">
        <v>5.03</v>
      </c>
      <c r="D31" s="12" t="s">
        <v>34</v>
      </c>
      <c r="E31" s="12" t="s">
        <v>172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5.03</v>
      </c>
    </row>
    <row r="32" spans="1:10" ht="12.4" x14ac:dyDescent="0.45">
      <c r="A32" s="12"/>
      <c r="B32" s="12" t="s">
        <v>37</v>
      </c>
      <c r="C32" s="13">
        <v>-2.65</v>
      </c>
      <c r="D32" s="12" t="s">
        <v>34</v>
      </c>
      <c r="E32" s="12" t="s">
        <v>173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-2.65</v>
      </c>
    </row>
    <row r="33" spans="1:10" ht="12.4" x14ac:dyDescent="0.45">
      <c r="A33" s="12" t="s">
        <v>123</v>
      </c>
      <c r="B33" s="12" t="s">
        <v>124</v>
      </c>
      <c r="C33" s="13">
        <v>15.43</v>
      </c>
      <c r="D33" s="12" t="s">
        <v>13</v>
      </c>
      <c r="E33" s="12" t="s">
        <v>166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15.43</v>
      </c>
    </row>
    <row r="34" spans="1:10" ht="12.4" x14ac:dyDescent="0.45">
      <c r="A34" s="12"/>
      <c r="B34" s="12" t="s">
        <v>125</v>
      </c>
      <c r="C34" s="13">
        <v>-15.42</v>
      </c>
      <c r="D34" s="12" t="s">
        <v>13</v>
      </c>
      <c r="E34" s="12" t="s">
        <v>167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-15.42</v>
      </c>
    </row>
    <row r="35" spans="1:10" ht="12.4" x14ac:dyDescent="0.45">
      <c r="A35" s="12" t="s">
        <v>126</v>
      </c>
      <c r="B35" s="12" t="s">
        <v>38</v>
      </c>
      <c r="C35" s="13">
        <v>0.12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0.12</v>
      </c>
    </row>
    <row r="36" spans="1:10" ht="12" x14ac:dyDescent="0.45">
      <c r="A36" s="12" t="s">
        <v>127</v>
      </c>
      <c r="B36" s="12" t="s">
        <v>139</v>
      </c>
      <c r="C36" s="13">
        <v>-0.71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-0.71</v>
      </c>
    </row>
    <row r="37" spans="1:10" ht="12" x14ac:dyDescent="0.45">
      <c r="A37" s="12"/>
      <c r="B37" s="12" t="s">
        <v>140</v>
      </c>
      <c r="C37" s="13">
        <v>-9.8800000000000008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-9.8800000000000008</v>
      </c>
    </row>
    <row r="38" spans="1:10" ht="12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ht="12" x14ac:dyDescent="0.45">
      <c r="A39" s="12" t="s">
        <v>129</v>
      </c>
      <c r="B39" s="12" t="s">
        <v>41</v>
      </c>
      <c r="C39" s="16">
        <v>3.35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3.35</v>
      </c>
    </row>
    <row r="40" spans="1:10" ht="12" x14ac:dyDescent="0.45">
      <c r="A40" s="12"/>
      <c r="B40" s="12" t="s">
        <v>43</v>
      </c>
      <c r="C40" s="16">
        <v>1.8049999999999999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1.8049999999999999</v>
      </c>
    </row>
    <row r="41" spans="1:10" ht="12.4" x14ac:dyDescent="0.45">
      <c r="A41" s="12" t="s">
        <v>130</v>
      </c>
      <c r="B41" s="12" t="s">
        <v>44</v>
      </c>
      <c r="C41" s="13">
        <v>9.44</v>
      </c>
      <c r="D41" s="12" t="s">
        <v>34</v>
      </c>
      <c r="E41" s="12" t="s">
        <v>154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9.44</v>
      </c>
    </row>
    <row r="42" spans="1:10" ht="12.4" x14ac:dyDescent="0.45">
      <c r="A42" s="12"/>
      <c r="B42" s="12" t="s">
        <v>45</v>
      </c>
      <c r="C42" s="13">
        <v>5.09</v>
      </c>
      <c r="D42" s="12" t="s">
        <v>34</v>
      </c>
      <c r="E42" s="12" t="s">
        <v>174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5.09</v>
      </c>
    </row>
    <row r="43" spans="1:10" ht="12.4" x14ac:dyDescent="0.45">
      <c r="A43" s="12" t="s">
        <v>131</v>
      </c>
      <c r="B43" s="12" t="s">
        <v>46</v>
      </c>
      <c r="C43" s="13">
        <v>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</v>
      </c>
    </row>
    <row r="44" spans="1:10" ht="12.4" x14ac:dyDescent="0.45">
      <c r="A44" s="12"/>
      <c r="B44" s="12" t="s">
        <v>47</v>
      </c>
      <c r="C44" s="13">
        <v>1.65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1.65</v>
      </c>
    </row>
    <row r="45" spans="1:10" ht="12" x14ac:dyDescent="0.45">
      <c r="A45" s="12" t="s">
        <v>132</v>
      </c>
      <c r="B45" s="12" t="s">
        <v>48</v>
      </c>
      <c r="C45" s="13">
        <v>0.32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0.32</v>
      </c>
    </row>
    <row r="46" spans="1:10" ht="12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ht="12" x14ac:dyDescent="0.45">
      <c r="A47" s="12" t="s">
        <v>133</v>
      </c>
      <c r="B47" s="12" t="s">
        <v>50</v>
      </c>
      <c r="C47" s="13">
        <v>40.950000000000003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40.950000000000003</v>
      </c>
    </row>
    <row r="48" spans="1:10" ht="12" x14ac:dyDescent="0.45">
      <c r="A48" s="12"/>
      <c r="B48" s="12" t="s">
        <v>52</v>
      </c>
      <c r="C48" s="13">
        <v>33.78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33.78</v>
      </c>
    </row>
    <row r="49" spans="1:10" ht="12" x14ac:dyDescent="0.45">
      <c r="A49" s="12" t="s">
        <v>134</v>
      </c>
      <c r="B49" s="12" t="s">
        <v>53</v>
      </c>
      <c r="C49" s="13">
        <v>112.89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112.89</v>
      </c>
    </row>
    <row r="50" spans="1:10" ht="12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ht="12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983030 O65526 O131062 O196598 O262134 O327670 O393206 O458742 O524278 O589814 O655350 O720886 O786422 O851958 O917494 O2:P2" xr:uid="{163067C4-8D42-4BC4-AED8-402B62931FF6}">
      <formula1>"PA,MA"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/>
  </sheetPr>
  <dimension ref="A1:P250"/>
  <sheetViews>
    <sheetView zoomScale="85" zoomScaleNormal="85"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4.59765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3.02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3.02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3.02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3.02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UP0003-eff</v>
      </c>
      <c r="P3" s="4" t="str">
        <f ca="1">IF(LEFT(O3,11)="SHAPE-THIN ",MID(O3,12,50)&amp;"-"&amp;O2,O3&amp;"-"&amp;O2)</f>
        <v>UP0003-eff-MA</v>
      </c>
    </row>
    <row r="4" spans="1:16" x14ac:dyDescent="0.45">
      <c r="A4" s="12" t="s">
        <v>97</v>
      </c>
      <c r="B4" s="12" t="s">
        <v>7</v>
      </c>
      <c r="C4" s="13">
        <v>0.63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0.63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3.02</v>
      </c>
    </row>
    <row r="5" spans="1:16" x14ac:dyDescent="0.45">
      <c r="A5" s="12"/>
      <c r="B5" s="12" t="s">
        <v>8</v>
      </c>
      <c r="C5" s="13">
        <v>0.49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0.49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30.1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10.5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3.16</v>
      </c>
    </row>
    <row r="8" spans="1:16" x14ac:dyDescent="0.45">
      <c r="A8" s="12" t="s">
        <v>100</v>
      </c>
      <c r="B8" s="12" t="s">
        <v>12</v>
      </c>
      <c r="C8" s="13">
        <v>30.1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30.1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1.86</v>
      </c>
    </row>
    <row r="9" spans="1:16" x14ac:dyDescent="0.45">
      <c r="A9" s="12"/>
      <c r="B9" s="12" t="s">
        <v>14</v>
      </c>
      <c r="C9" s="13">
        <v>10.5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10.5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6.68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2.6</v>
      </c>
    </row>
    <row r="11" spans="1:16" x14ac:dyDescent="0.45">
      <c r="A11" s="12" t="s">
        <v>104</v>
      </c>
      <c r="B11" s="12" t="s">
        <v>17</v>
      </c>
      <c r="C11" s="13">
        <v>40.61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40.61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105.4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105.4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4.63</v>
      </c>
    </row>
    <row r="13" spans="1:16" x14ac:dyDescent="0.45">
      <c r="A13" s="12" t="s">
        <v>105</v>
      </c>
      <c r="B13" s="12" t="s">
        <v>20</v>
      </c>
      <c r="C13" s="13">
        <v>3.16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3.16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292.8</v>
      </c>
    </row>
    <row r="14" spans="1:16" x14ac:dyDescent="0.45">
      <c r="A14" s="12"/>
      <c r="B14" s="12" t="s">
        <v>21</v>
      </c>
      <c r="C14" s="13">
        <v>1.86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1.86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3.67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3.67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5.91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5.91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1.67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1.67</v>
      </c>
    </row>
    <row r="18" spans="1:10" x14ac:dyDescent="0.45">
      <c r="A18" s="12" t="s">
        <v>111</v>
      </c>
      <c r="B18" s="12" t="s">
        <v>23</v>
      </c>
      <c r="C18" s="15">
        <v>2.2999999999999998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2.2999999999999998</v>
      </c>
    </row>
    <row r="19" spans="1:10" x14ac:dyDescent="0.45">
      <c r="A19" s="12" t="s">
        <v>112</v>
      </c>
      <c r="B19" s="12" t="s">
        <v>25</v>
      </c>
      <c r="C19" s="13">
        <v>47.01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47.01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18.23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18.23</v>
      </c>
    </row>
    <row r="22" spans="1:10" x14ac:dyDescent="0.45">
      <c r="A22" s="12" t="s">
        <v>116</v>
      </c>
      <c r="B22" s="12" t="s">
        <v>28</v>
      </c>
      <c r="C22" s="13">
        <v>4.63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4.63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4.63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4.63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938.13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938.13</v>
      </c>
    </row>
    <row r="27" spans="1:10" x14ac:dyDescent="0.45">
      <c r="A27" s="12"/>
      <c r="B27" s="12" t="s">
        <v>119</v>
      </c>
      <c r="C27" s="13">
        <v>292.8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292.8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6.68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6.68</v>
      </c>
    </row>
    <row r="30" spans="1:10" x14ac:dyDescent="0.45">
      <c r="A30" s="12"/>
      <c r="B30" s="12" t="s">
        <v>35</v>
      </c>
      <c r="C30" s="13">
        <v>-6.68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-6.68</v>
      </c>
    </row>
    <row r="31" spans="1:10" x14ac:dyDescent="0.45">
      <c r="A31" s="12"/>
      <c r="B31" s="12" t="s">
        <v>36</v>
      </c>
      <c r="C31" s="13">
        <v>5.09</v>
      </c>
      <c r="D31" s="12" t="s">
        <v>34</v>
      </c>
      <c r="E31" s="12" t="s">
        <v>175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5.09</v>
      </c>
    </row>
    <row r="32" spans="1:10" x14ac:dyDescent="0.45">
      <c r="A32" s="12"/>
      <c r="B32" s="12" t="s">
        <v>37</v>
      </c>
      <c r="C32" s="13">
        <v>-2.6</v>
      </c>
      <c r="D32" s="12" t="s">
        <v>34</v>
      </c>
      <c r="E32" s="12" t="s">
        <v>176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-2.6</v>
      </c>
    </row>
    <row r="33" spans="1:10" x14ac:dyDescent="0.45">
      <c r="A33" s="12" t="s">
        <v>123</v>
      </c>
      <c r="B33" s="12" t="s">
        <v>124</v>
      </c>
      <c r="C33" s="13">
        <v>14.81</v>
      </c>
      <c r="D33" s="12" t="s">
        <v>13</v>
      </c>
      <c r="E33" s="12" t="s">
        <v>169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14.81</v>
      </c>
    </row>
    <row r="34" spans="1:10" x14ac:dyDescent="0.45">
      <c r="A34" s="12"/>
      <c r="B34" s="12" t="s">
        <v>125</v>
      </c>
      <c r="C34" s="13">
        <v>-14.8</v>
      </c>
      <c r="D34" s="12" t="s">
        <v>13</v>
      </c>
      <c r="E34" s="12" t="s">
        <v>170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-14.8</v>
      </c>
    </row>
    <row r="35" spans="1:10" x14ac:dyDescent="0.45">
      <c r="A35" s="12" t="s">
        <v>126</v>
      </c>
      <c r="B35" s="12" t="s">
        <v>38</v>
      </c>
      <c r="C35" s="13">
        <v>0.11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0.11</v>
      </c>
    </row>
    <row r="36" spans="1:10" x14ac:dyDescent="0.45">
      <c r="A36" s="12" t="s">
        <v>127</v>
      </c>
      <c r="B36" s="12" t="s">
        <v>139</v>
      </c>
      <c r="C36" s="13">
        <v>-0.92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-0.92</v>
      </c>
    </row>
    <row r="37" spans="1:10" x14ac:dyDescent="0.45">
      <c r="A37" s="12"/>
      <c r="B37" s="12" t="s">
        <v>140</v>
      </c>
      <c r="C37" s="13">
        <v>-10.18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-10.18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3.0779999999999998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3.0779999999999998</v>
      </c>
    </row>
    <row r="40" spans="1:10" x14ac:dyDescent="0.45">
      <c r="A40" s="12"/>
      <c r="B40" s="12" t="s">
        <v>43</v>
      </c>
      <c r="C40" s="16">
        <v>1.7809999999999999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1.7809999999999999</v>
      </c>
    </row>
    <row r="41" spans="1:10" x14ac:dyDescent="0.45">
      <c r="A41" s="12" t="s">
        <v>130</v>
      </c>
      <c r="B41" s="12" t="s">
        <v>44</v>
      </c>
      <c r="C41" s="13">
        <v>8.67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8.67</v>
      </c>
    </row>
    <row r="42" spans="1:10" x14ac:dyDescent="0.45">
      <c r="A42" s="12"/>
      <c r="B42" s="12" t="s">
        <v>45</v>
      </c>
      <c r="C42" s="13">
        <v>5.0199999999999996</v>
      </c>
      <c r="D42" s="12" t="s">
        <v>34</v>
      </c>
      <c r="E42" s="12" t="s">
        <v>177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5.0199999999999996</v>
      </c>
    </row>
    <row r="43" spans="1:10" x14ac:dyDescent="0.45">
      <c r="A43" s="12" t="s">
        <v>131</v>
      </c>
      <c r="B43" s="12" t="s">
        <v>46</v>
      </c>
      <c r="C43" s="13">
        <v>1.76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1.76</v>
      </c>
    </row>
    <row r="44" spans="1:10" x14ac:dyDescent="0.45">
      <c r="A44" s="12"/>
      <c r="B44" s="12" t="s">
        <v>47</v>
      </c>
      <c r="C44" s="13">
        <v>1.73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1.73</v>
      </c>
    </row>
    <row r="45" spans="1:10" x14ac:dyDescent="0.45">
      <c r="A45" s="12" t="s">
        <v>132</v>
      </c>
      <c r="B45" s="12" t="s">
        <v>48</v>
      </c>
      <c r="C45" s="13">
        <v>0.15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0.15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36.020000000000003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36.020000000000003</v>
      </c>
    </row>
    <row r="48" spans="1:10" x14ac:dyDescent="0.45">
      <c r="A48" s="12"/>
      <c r="B48" s="12" t="s">
        <v>52</v>
      </c>
      <c r="C48" s="13">
        <v>35.450000000000003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35.450000000000003</v>
      </c>
    </row>
    <row r="49" spans="1:10" x14ac:dyDescent="0.45">
      <c r="A49" s="12" t="s">
        <v>134</v>
      </c>
      <c r="B49" s="12" t="s">
        <v>53</v>
      </c>
      <c r="C49" s="13">
        <v>107.26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107.26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AC17B7AE-AD0D-4382-98ED-9E05E322FD18}">
      <formula1>"PA,MA"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1C9A-9A8F-4424-9E1D-DD1740FB7F32}">
  <sheetPr codeName="Sheet4">
    <tabColor theme="9"/>
  </sheetPr>
  <dimension ref="A1:P250"/>
  <sheetViews>
    <sheetView zoomScale="85" zoomScaleNormal="85"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3.96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3.96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3.96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3.96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UP0004-eff</v>
      </c>
      <c r="P3" s="4" t="str">
        <f ca="1">IF(LEFT(O3,11)="SHAPE-THIN ",MID(O3,12,50)&amp;"-"&amp;O2,O3&amp;"-"&amp;O2)</f>
        <v>UP0004-eff-MA</v>
      </c>
    </row>
    <row r="4" spans="1:16" x14ac:dyDescent="0.45">
      <c r="A4" s="12" t="s">
        <v>97</v>
      </c>
      <c r="B4" s="12" t="s">
        <v>7</v>
      </c>
      <c r="C4" s="13">
        <v>1.01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1.01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3.96</v>
      </c>
    </row>
    <row r="5" spans="1:16" x14ac:dyDescent="0.45">
      <c r="A5" s="12"/>
      <c r="B5" s="12" t="s">
        <v>8</v>
      </c>
      <c r="C5" s="13">
        <v>0.55000000000000004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0.55000000000000004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41.42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13.07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3.23</v>
      </c>
    </row>
    <row r="8" spans="1:16" x14ac:dyDescent="0.45">
      <c r="A8" s="12" t="s">
        <v>100</v>
      </c>
      <c r="B8" s="12" t="s">
        <v>12</v>
      </c>
      <c r="C8" s="13">
        <v>41.42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41.42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1.82</v>
      </c>
    </row>
    <row r="9" spans="1:16" x14ac:dyDescent="0.45">
      <c r="A9" s="12"/>
      <c r="B9" s="12" t="s">
        <v>14</v>
      </c>
      <c r="C9" s="13">
        <v>13.07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13.07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9.1999999999999993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3.28</v>
      </c>
    </row>
    <row r="11" spans="1:16" x14ac:dyDescent="0.45">
      <c r="A11" s="12" t="s">
        <v>104</v>
      </c>
      <c r="B11" s="12" t="s">
        <v>17</v>
      </c>
      <c r="C11" s="13">
        <v>54.49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54.49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0.04</v>
      </c>
    </row>
    <row r="12" spans="1:16" x14ac:dyDescent="0.45">
      <c r="A12" s="12"/>
      <c r="B12" s="12" t="s">
        <v>18</v>
      </c>
      <c r="C12" s="13">
        <v>136.85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136.85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4.5599999999999996</v>
      </c>
    </row>
    <row r="13" spans="1:16" x14ac:dyDescent="0.45">
      <c r="A13" s="12" t="s">
        <v>105</v>
      </c>
      <c r="B13" s="12" t="s">
        <v>20</v>
      </c>
      <c r="C13" s="13">
        <v>3.23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3.23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377.37</v>
      </c>
    </row>
    <row r="14" spans="1:16" x14ac:dyDescent="0.45">
      <c r="A14" s="12"/>
      <c r="B14" s="12" t="s">
        <v>21</v>
      </c>
      <c r="C14" s="13">
        <v>1.82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1.82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3.71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3.71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5.88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5.88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1.66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1.66</v>
      </c>
    </row>
    <row r="18" spans="1:10" x14ac:dyDescent="0.45">
      <c r="A18" s="12" t="s">
        <v>111</v>
      </c>
      <c r="B18" s="12" t="s">
        <v>23</v>
      </c>
      <c r="C18" s="15">
        <v>3.1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3.1</v>
      </c>
    </row>
    <row r="19" spans="1:10" x14ac:dyDescent="0.45">
      <c r="A19" s="12" t="s">
        <v>112</v>
      </c>
      <c r="B19" s="12" t="s">
        <v>25</v>
      </c>
      <c r="C19" s="13">
        <v>46.97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46.97</v>
      </c>
    </row>
    <row r="20" spans="1:10" x14ac:dyDescent="0.45">
      <c r="A20" s="12" t="s">
        <v>113</v>
      </c>
      <c r="B20" s="12" t="s">
        <v>26</v>
      </c>
      <c r="C20" s="13">
        <v>0.04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0.04</v>
      </c>
    </row>
    <row r="21" spans="1:10" x14ac:dyDescent="0.45">
      <c r="A21" s="12" t="s">
        <v>115</v>
      </c>
      <c r="B21" s="12" t="s">
        <v>27</v>
      </c>
      <c r="C21" s="13">
        <v>28.55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28.55</v>
      </c>
    </row>
    <row r="22" spans="1:10" x14ac:dyDescent="0.45">
      <c r="A22" s="12" t="s">
        <v>116</v>
      </c>
      <c r="B22" s="12" t="s">
        <v>28</v>
      </c>
      <c r="C22" s="13">
        <v>4.5599999999999996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4.5599999999999996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4.5599999999999996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4.5599999999999996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1238.08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1238.08</v>
      </c>
    </row>
    <row r="27" spans="1:10" x14ac:dyDescent="0.45">
      <c r="A27" s="12"/>
      <c r="B27" s="12" t="s">
        <v>119</v>
      </c>
      <c r="C27" s="13">
        <v>377.37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377.37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9.1999999999999993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9.1999999999999993</v>
      </c>
    </row>
    <row r="30" spans="1:10" x14ac:dyDescent="0.45">
      <c r="A30" s="12"/>
      <c r="B30" s="12" t="s">
        <v>35</v>
      </c>
      <c r="C30" s="13">
        <v>-9.1999999999999993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-9.1999999999999993</v>
      </c>
    </row>
    <row r="31" spans="1:10" x14ac:dyDescent="0.45">
      <c r="A31" s="12"/>
      <c r="B31" s="12" t="s">
        <v>36</v>
      </c>
      <c r="C31" s="13">
        <v>6.17</v>
      </c>
      <c r="D31" s="12" t="s">
        <v>34</v>
      </c>
      <c r="E31" s="12" t="s">
        <v>145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6.17</v>
      </c>
    </row>
    <row r="32" spans="1:10" x14ac:dyDescent="0.45">
      <c r="A32" s="12"/>
      <c r="B32" s="12" t="s">
        <v>37</v>
      </c>
      <c r="C32" s="13">
        <v>-3.28</v>
      </c>
      <c r="D32" s="12" t="s">
        <v>34</v>
      </c>
      <c r="E32" s="12" t="s">
        <v>146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-3.28</v>
      </c>
    </row>
    <row r="33" spans="1:10" x14ac:dyDescent="0.45">
      <c r="A33" s="12" t="s">
        <v>123</v>
      </c>
      <c r="B33" s="12" t="s">
        <v>124</v>
      </c>
      <c r="C33" s="13">
        <v>19.059999999999999</v>
      </c>
      <c r="D33" s="12" t="s">
        <v>13</v>
      </c>
      <c r="E33" s="12" t="s">
        <v>171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19.059999999999999</v>
      </c>
    </row>
    <row r="34" spans="1:10" x14ac:dyDescent="0.45">
      <c r="A34" s="12"/>
      <c r="B34" s="12" t="s">
        <v>125</v>
      </c>
      <c r="C34" s="13">
        <v>-19.07</v>
      </c>
      <c r="D34" s="12" t="s">
        <v>13</v>
      </c>
      <c r="E34" s="12" t="s">
        <v>147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-19.07</v>
      </c>
    </row>
    <row r="35" spans="1:10" x14ac:dyDescent="0.45">
      <c r="A35" s="12" t="s">
        <v>126</v>
      </c>
      <c r="B35" s="12" t="s">
        <v>38</v>
      </c>
      <c r="C35" s="13">
        <v>0.18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0.18</v>
      </c>
    </row>
    <row r="36" spans="1:10" x14ac:dyDescent="0.45">
      <c r="A36" s="12" t="s">
        <v>127</v>
      </c>
      <c r="B36" s="12" t="s">
        <v>139</v>
      </c>
      <c r="C36" s="13">
        <v>-0.69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-0.69</v>
      </c>
    </row>
    <row r="37" spans="1:10" x14ac:dyDescent="0.45">
      <c r="A37" s="12"/>
      <c r="B37" s="12" t="s">
        <v>140</v>
      </c>
      <c r="C37" s="13">
        <v>-9.81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-9.81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4.1470000000000002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4.1470000000000002</v>
      </c>
    </row>
    <row r="40" spans="1:10" x14ac:dyDescent="0.45">
      <c r="A40" s="12"/>
      <c r="B40" s="12" t="s">
        <v>43</v>
      </c>
      <c r="C40" s="16">
        <v>2.2370000000000001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2.2370000000000001</v>
      </c>
    </row>
    <row r="41" spans="1:10" x14ac:dyDescent="0.45">
      <c r="A41" s="12" t="s">
        <v>130</v>
      </c>
      <c r="B41" s="12" t="s">
        <v>44</v>
      </c>
      <c r="C41" s="13">
        <v>11.68</v>
      </c>
      <c r="D41" s="12" t="s">
        <v>34</v>
      </c>
      <c r="E41" s="12" t="s">
        <v>144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11.68</v>
      </c>
    </row>
    <row r="42" spans="1:10" x14ac:dyDescent="0.45">
      <c r="A42" s="12"/>
      <c r="B42" s="12" t="s">
        <v>45</v>
      </c>
      <c r="C42" s="13">
        <v>6.3</v>
      </c>
      <c r="D42" s="12" t="s">
        <v>34</v>
      </c>
      <c r="E42" s="12" t="s">
        <v>174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6.3</v>
      </c>
    </row>
    <row r="43" spans="1:10" x14ac:dyDescent="0.45">
      <c r="A43" s="12" t="s">
        <v>131</v>
      </c>
      <c r="B43" s="12" t="s">
        <v>46</v>
      </c>
      <c r="C43" s="13">
        <v>2.4900000000000002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2.4900000000000002</v>
      </c>
    </row>
    <row r="44" spans="1:10" x14ac:dyDescent="0.45">
      <c r="A44" s="12"/>
      <c r="B44" s="12" t="s">
        <v>47</v>
      </c>
      <c r="C44" s="13">
        <v>2.0499999999999998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2.0499999999999998</v>
      </c>
    </row>
    <row r="45" spans="1:10" x14ac:dyDescent="0.45">
      <c r="A45" s="12" t="s">
        <v>132</v>
      </c>
      <c r="B45" s="12" t="s">
        <v>48</v>
      </c>
      <c r="C45" s="13">
        <v>0.31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0.31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51.02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51.02</v>
      </c>
    </row>
    <row r="48" spans="1:10" x14ac:dyDescent="0.45">
      <c r="A48" s="12"/>
      <c r="B48" s="12" t="s">
        <v>52</v>
      </c>
      <c r="C48" s="13">
        <v>42.06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42.06</v>
      </c>
    </row>
    <row r="49" spans="1:10" x14ac:dyDescent="0.45">
      <c r="A49" s="12" t="s">
        <v>134</v>
      </c>
      <c r="B49" s="12" t="s">
        <v>53</v>
      </c>
      <c r="C49" s="13">
        <v>140.66999999999999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140.66999999999999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19494BAE-BE06-4A94-8606-5E77FA2462D5}">
      <formula1>"PA,MA"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9"/>
  </sheetPr>
  <dimension ref="A1:P250"/>
  <sheetViews>
    <sheetView workbookViewId="0">
      <selection activeCell="G14" sqref="G14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3.76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3.76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3.76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3.76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UP0005-eff</v>
      </c>
      <c r="P3" s="4" t="str">
        <f ca="1">IF(LEFT(O3,11)="SHAPE-THIN ",MID(O3,12,50)&amp;"-"&amp;O2,O3&amp;"-"&amp;O2)</f>
        <v>UP0005-eff-MA</v>
      </c>
    </row>
    <row r="4" spans="1:16" x14ac:dyDescent="0.45">
      <c r="A4" s="12" t="s">
        <v>97</v>
      </c>
      <c r="B4" s="12" t="s">
        <v>7</v>
      </c>
      <c r="C4" s="13">
        <v>0.85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0.85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3.76</v>
      </c>
    </row>
    <row r="5" spans="1:16" x14ac:dyDescent="0.45">
      <c r="A5" s="12"/>
      <c r="B5" s="12" t="s">
        <v>8</v>
      </c>
      <c r="C5" s="13">
        <v>0.5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0.5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37.53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12.95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3.16</v>
      </c>
    </row>
    <row r="8" spans="1:16" x14ac:dyDescent="0.45">
      <c r="A8" s="12" t="s">
        <v>100</v>
      </c>
      <c r="B8" s="12" t="s">
        <v>12</v>
      </c>
      <c r="C8" s="13">
        <v>37.53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37.53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1.85</v>
      </c>
    </row>
    <row r="9" spans="1:16" x14ac:dyDescent="0.45">
      <c r="A9" s="12"/>
      <c r="B9" s="12" t="s">
        <v>14</v>
      </c>
      <c r="C9" s="13">
        <v>12.95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12.95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8.33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3.28</v>
      </c>
    </row>
    <row r="11" spans="1:16" x14ac:dyDescent="0.45">
      <c r="A11" s="12" t="s">
        <v>104</v>
      </c>
      <c r="B11" s="12" t="s">
        <v>17</v>
      </c>
      <c r="C11" s="13">
        <v>50.48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50.48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0.03</v>
      </c>
    </row>
    <row r="12" spans="1:16" x14ac:dyDescent="0.45">
      <c r="A12" s="12"/>
      <c r="B12" s="12" t="s">
        <v>18</v>
      </c>
      <c r="C12" s="13">
        <v>135.61000000000001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135.61000000000001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4.76</v>
      </c>
    </row>
    <row r="13" spans="1:16" x14ac:dyDescent="0.45">
      <c r="A13" s="12" t="s">
        <v>105</v>
      </c>
      <c r="B13" s="12" t="s">
        <v>20</v>
      </c>
      <c r="C13" s="13">
        <v>3.16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3.16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367.07</v>
      </c>
    </row>
    <row r="14" spans="1:16" x14ac:dyDescent="0.45">
      <c r="A14" s="12"/>
      <c r="B14" s="12" t="s">
        <v>21</v>
      </c>
      <c r="C14" s="13">
        <v>1.85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1.85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3.66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3.66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1.65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1.65</v>
      </c>
    </row>
    <row r="18" spans="1:10" x14ac:dyDescent="0.45">
      <c r="A18" s="12" t="s">
        <v>111</v>
      </c>
      <c r="B18" s="12" t="s">
        <v>23</v>
      </c>
      <c r="C18" s="15">
        <v>2.9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2.9</v>
      </c>
    </row>
    <row r="19" spans="1:10" x14ac:dyDescent="0.45">
      <c r="A19" s="12" t="s">
        <v>112</v>
      </c>
      <c r="B19" s="12" t="s">
        <v>25</v>
      </c>
      <c r="C19" s="13">
        <v>46.97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46.97</v>
      </c>
    </row>
    <row r="20" spans="1:10" x14ac:dyDescent="0.45">
      <c r="A20" s="12" t="s">
        <v>113</v>
      </c>
      <c r="B20" s="12" t="s">
        <v>26</v>
      </c>
      <c r="C20" s="13">
        <v>0.03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0.03</v>
      </c>
    </row>
    <row r="21" spans="1:10" x14ac:dyDescent="0.45">
      <c r="A21" s="12" t="s">
        <v>115</v>
      </c>
      <c r="B21" s="12" t="s">
        <v>27</v>
      </c>
      <c r="C21" s="13">
        <v>24.65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24.65</v>
      </c>
    </row>
    <row r="22" spans="1:10" x14ac:dyDescent="0.45">
      <c r="A22" s="12" t="s">
        <v>116</v>
      </c>
      <c r="B22" s="12" t="s">
        <v>28</v>
      </c>
      <c r="C22" s="13">
        <v>4.76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4.76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4.76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4.76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1216.33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1216.33</v>
      </c>
    </row>
    <row r="27" spans="1:10" x14ac:dyDescent="0.45">
      <c r="A27" s="12"/>
      <c r="B27" s="12" t="s">
        <v>119</v>
      </c>
      <c r="C27" s="13">
        <v>367.07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367.07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8.33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8.33</v>
      </c>
    </row>
    <row r="30" spans="1:10" x14ac:dyDescent="0.45">
      <c r="A30" s="12"/>
      <c r="B30" s="12" t="s">
        <v>35</v>
      </c>
      <c r="C30" s="13">
        <v>-8.33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-8.33</v>
      </c>
    </row>
    <row r="31" spans="1:10" x14ac:dyDescent="0.45">
      <c r="A31" s="12"/>
      <c r="B31" s="12" t="s">
        <v>36</v>
      </c>
      <c r="C31" s="13">
        <v>6</v>
      </c>
      <c r="D31" s="12" t="s">
        <v>34</v>
      </c>
      <c r="E31" s="12" t="s">
        <v>142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6</v>
      </c>
    </row>
    <row r="32" spans="1:10" x14ac:dyDescent="0.45">
      <c r="A32" s="12"/>
      <c r="B32" s="12" t="s">
        <v>37</v>
      </c>
      <c r="C32" s="13">
        <v>-3.28</v>
      </c>
      <c r="D32" s="12" t="s">
        <v>34</v>
      </c>
      <c r="E32" s="12" t="s">
        <v>143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-3.28</v>
      </c>
    </row>
    <row r="33" spans="1:10" x14ac:dyDescent="0.45">
      <c r="A33" s="12" t="s">
        <v>123</v>
      </c>
      <c r="B33" s="12" t="s">
        <v>124</v>
      </c>
      <c r="C33" s="13">
        <v>18.91</v>
      </c>
      <c r="D33" s="12" t="s">
        <v>13</v>
      </c>
      <c r="E33" s="12" t="s">
        <v>171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18.91</v>
      </c>
    </row>
    <row r="34" spans="1:10" x14ac:dyDescent="0.45">
      <c r="A34" s="12"/>
      <c r="B34" s="12" t="s">
        <v>125</v>
      </c>
      <c r="C34" s="13">
        <v>-18.920000000000002</v>
      </c>
      <c r="D34" s="12" t="s">
        <v>13</v>
      </c>
      <c r="E34" s="12" t="s">
        <v>147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-18.920000000000002</v>
      </c>
    </row>
    <row r="35" spans="1:10" x14ac:dyDescent="0.45">
      <c r="A35" s="12" t="s">
        <v>126</v>
      </c>
      <c r="B35" s="12" t="s">
        <v>38</v>
      </c>
      <c r="C35" s="13">
        <v>0.16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0.16</v>
      </c>
    </row>
    <row r="36" spans="1:10" x14ac:dyDescent="0.45">
      <c r="A36" s="12" t="s">
        <v>127</v>
      </c>
      <c r="B36" s="12" t="s">
        <v>139</v>
      </c>
      <c r="C36" s="13">
        <v>-0.7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</v>
      </c>
    </row>
    <row r="37" spans="1:10" x14ac:dyDescent="0.45">
      <c r="A37" s="12"/>
      <c r="B37" s="12" t="s">
        <v>140</v>
      </c>
      <c r="C37" s="13">
        <v>-10.210000000000001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-10.210000000000001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3.8340000000000001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3.8340000000000001</v>
      </c>
    </row>
    <row r="40" spans="1:10" x14ac:dyDescent="0.45">
      <c r="A40" s="12"/>
      <c r="B40" s="12" t="s">
        <v>43</v>
      </c>
      <c r="C40" s="16">
        <v>2.198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2.198</v>
      </c>
    </row>
    <row r="41" spans="1:10" x14ac:dyDescent="0.45">
      <c r="A41" s="12" t="s">
        <v>130</v>
      </c>
      <c r="B41" s="12" t="s">
        <v>44</v>
      </c>
      <c r="C41" s="13">
        <v>10.8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10.8</v>
      </c>
    </row>
    <row r="42" spans="1:10" x14ac:dyDescent="0.45">
      <c r="A42" s="12"/>
      <c r="B42" s="12" t="s">
        <v>45</v>
      </c>
      <c r="C42" s="13">
        <v>6.19</v>
      </c>
      <c r="D42" s="12" t="s">
        <v>34</v>
      </c>
      <c r="E42" s="12" t="s">
        <v>181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6.19</v>
      </c>
    </row>
    <row r="43" spans="1:10" x14ac:dyDescent="0.45">
      <c r="A43" s="12" t="s">
        <v>131</v>
      </c>
      <c r="B43" s="12" t="s">
        <v>46</v>
      </c>
      <c r="C43" s="13">
        <v>2.29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2.29</v>
      </c>
    </row>
    <row r="44" spans="1:10" x14ac:dyDescent="0.45">
      <c r="A44" s="12"/>
      <c r="B44" s="12" t="s">
        <v>47</v>
      </c>
      <c r="C44" s="13">
        <v>2.0499999999999998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2.0499999999999998</v>
      </c>
    </row>
    <row r="45" spans="1:10" x14ac:dyDescent="0.45">
      <c r="A45" s="12" t="s">
        <v>132</v>
      </c>
      <c r="B45" s="12" t="s">
        <v>48</v>
      </c>
      <c r="C45" s="13">
        <v>0.1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46.9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46.9</v>
      </c>
    </row>
    <row r="48" spans="1:10" x14ac:dyDescent="0.45">
      <c r="A48" s="12"/>
      <c r="B48" s="12" t="s">
        <v>52</v>
      </c>
      <c r="C48" s="13">
        <v>42.06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42.06</v>
      </c>
    </row>
    <row r="49" spans="1:10" x14ac:dyDescent="0.45">
      <c r="A49" s="12" t="s">
        <v>134</v>
      </c>
      <c r="B49" s="12" t="s">
        <v>53</v>
      </c>
      <c r="C49" s="13">
        <v>133.54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133.54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29E7E4D8-7F6B-48C2-A011-1D757B93A89B}">
      <formula1>"PA,MA"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tabColor theme="9"/>
  </sheetPr>
  <dimension ref="A1:P250"/>
  <sheetViews>
    <sheetView workbookViewId="0">
      <selection activeCell="E16" sqref="E1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3.66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3.66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3.66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3.66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UP0006-eff</v>
      </c>
      <c r="P3" s="4" t="str">
        <f ca="1">IF(LEFT(O3,11)="SHAPE-THIN ",MID(O3,12,50)&amp;"-"&amp;O2,O3&amp;"-"&amp;O2)</f>
        <v>UP0006-eff-MA</v>
      </c>
    </row>
    <row r="4" spans="1:16" x14ac:dyDescent="0.45">
      <c r="A4" s="12" t="s">
        <v>97</v>
      </c>
      <c r="B4" s="12" t="s">
        <v>7</v>
      </c>
      <c r="C4" s="13">
        <v>0.67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0.67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3.66</v>
      </c>
    </row>
    <row r="5" spans="1:16" x14ac:dyDescent="0.45">
      <c r="A5" s="12"/>
      <c r="B5" s="12" t="s">
        <v>8</v>
      </c>
      <c r="C5" s="13">
        <v>0.77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0.77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69.47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11.32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4.3600000000000003</v>
      </c>
    </row>
    <row r="8" spans="1:16" x14ac:dyDescent="0.45">
      <c r="A8" s="12" t="s">
        <v>100</v>
      </c>
      <c r="B8" s="12" t="s">
        <v>12</v>
      </c>
      <c r="C8" s="13">
        <v>69.47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69.47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1.76</v>
      </c>
    </row>
    <row r="9" spans="1:16" x14ac:dyDescent="0.45">
      <c r="A9" s="12"/>
      <c r="B9" s="12" t="s">
        <v>14</v>
      </c>
      <c r="C9" s="13">
        <v>11.32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11.32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11.57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2.72</v>
      </c>
    </row>
    <row r="11" spans="1:16" x14ac:dyDescent="0.45">
      <c r="A11" s="12" t="s">
        <v>104</v>
      </c>
      <c r="B11" s="12" t="s">
        <v>17</v>
      </c>
      <c r="C11" s="13">
        <v>80.8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80.8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136.30000000000001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136.30000000000001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3.89</v>
      </c>
    </row>
    <row r="13" spans="1:16" x14ac:dyDescent="0.45">
      <c r="A13" s="12" t="s">
        <v>105</v>
      </c>
      <c r="B13" s="12" t="s">
        <v>20</v>
      </c>
      <c r="C13" s="13">
        <v>4.3600000000000003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4.3600000000000003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481.57</v>
      </c>
    </row>
    <row r="14" spans="1:16" x14ac:dyDescent="0.45">
      <c r="A14" s="12"/>
      <c r="B14" s="12" t="s">
        <v>21</v>
      </c>
      <c r="C14" s="13">
        <v>1.76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1.76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4.7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4.7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1.88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1.88</v>
      </c>
    </row>
    <row r="18" spans="1:10" x14ac:dyDescent="0.45">
      <c r="A18" s="12" t="s">
        <v>111</v>
      </c>
      <c r="B18" s="12" t="s">
        <v>23</v>
      </c>
      <c r="C18" s="15">
        <v>2.9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2.9</v>
      </c>
    </row>
    <row r="19" spans="1:10" x14ac:dyDescent="0.45">
      <c r="A19" s="12" t="s">
        <v>112</v>
      </c>
      <c r="B19" s="12" t="s">
        <v>25</v>
      </c>
      <c r="C19" s="13">
        <v>53.01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53.01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39.08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39.08</v>
      </c>
    </row>
    <row r="22" spans="1:10" x14ac:dyDescent="0.45">
      <c r="A22" s="12" t="s">
        <v>116</v>
      </c>
      <c r="B22" s="12" t="s">
        <v>28</v>
      </c>
      <c r="C22" s="13">
        <v>3.89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3.89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3.89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3.89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1534.82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1534.82</v>
      </c>
    </row>
    <row r="27" spans="1:10" x14ac:dyDescent="0.45">
      <c r="A27" s="12"/>
      <c r="B27" s="12" t="s">
        <v>119</v>
      </c>
      <c r="C27" s="13">
        <v>481.57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481.57</v>
      </c>
    </row>
    <row r="28" spans="1:10" x14ac:dyDescent="0.45">
      <c r="A28" s="12" t="s">
        <v>120</v>
      </c>
      <c r="B28" s="12" t="s">
        <v>121</v>
      </c>
      <c r="C28" s="16">
        <v>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1E-3</v>
      </c>
    </row>
    <row r="29" spans="1:10" x14ac:dyDescent="0.45">
      <c r="A29" s="12" t="s">
        <v>122</v>
      </c>
      <c r="B29" s="12" t="s">
        <v>33</v>
      </c>
      <c r="C29" s="13">
        <v>11.57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11.57</v>
      </c>
    </row>
    <row r="30" spans="1:10" x14ac:dyDescent="0.45">
      <c r="A30" s="12"/>
      <c r="B30" s="12" t="s">
        <v>35</v>
      </c>
      <c r="C30" s="13">
        <v>-11.57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-11.57</v>
      </c>
    </row>
    <row r="31" spans="1:10" x14ac:dyDescent="0.45">
      <c r="A31" s="12"/>
      <c r="B31" s="12" t="s">
        <v>36</v>
      </c>
      <c r="C31" s="13">
        <v>5.86</v>
      </c>
      <c r="D31" s="12" t="s">
        <v>34</v>
      </c>
      <c r="E31" s="12" t="s">
        <v>178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5.86</v>
      </c>
    </row>
    <row r="32" spans="1:10" x14ac:dyDescent="0.45">
      <c r="A32" s="12"/>
      <c r="B32" s="12" t="s">
        <v>37</v>
      </c>
      <c r="C32" s="13">
        <v>-2.72</v>
      </c>
      <c r="D32" s="12" t="s">
        <v>34</v>
      </c>
      <c r="E32" s="12" t="s">
        <v>179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-2.72</v>
      </c>
    </row>
    <row r="33" spans="1:10" x14ac:dyDescent="0.45">
      <c r="A33" s="12" t="s">
        <v>123</v>
      </c>
      <c r="B33" s="12" t="s">
        <v>124</v>
      </c>
      <c r="C33" s="13">
        <v>19.170000000000002</v>
      </c>
      <c r="D33" s="12" t="s">
        <v>13</v>
      </c>
      <c r="E33" s="12" t="s">
        <v>166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19.170000000000002</v>
      </c>
    </row>
    <row r="34" spans="1:10" x14ac:dyDescent="0.45">
      <c r="A34" s="12"/>
      <c r="B34" s="12" t="s">
        <v>125</v>
      </c>
      <c r="C34" s="13">
        <v>-19.16</v>
      </c>
      <c r="D34" s="12" t="s">
        <v>13</v>
      </c>
      <c r="E34" s="12" t="s">
        <v>167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-19.16</v>
      </c>
    </row>
    <row r="35" spans="1:10" x14ac:dyDescent="0.45">
      <c r="A35" s="12" t="s">
        <v>126</v>
      </c>
      <c r="B35" s="12" t="s">
        <v>38</v>
      </c>
      <c r="C35" s="13">
        <v>0.15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0.15</v>
      </c>
    </row>
    <row r="36" spans="1:10" x14ac:dyDescent="0.45">
      <c r="A36" s="12" t="s">
        <v>127</v>
      </c>
      <c r="B36" s="12" t="s">
        <v>139</v>
      </c>
      <c r="C36" s="13">
        <v>-2.2799999999999998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-2.2799999999999998</v>
      </c>
    </row>
    <row r="37" spans="1:10" x14ac:dyDescent="0.45">
      <c r="A37" s="12"/>
      <c r="B37" s="12" t="s">
        <v>140</v>
      </c>
      <c r="C37" s="13">
        <v>-10.07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-10.07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5.1710000000000003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5.1710000000000003</v>
      </c>
    </row>
    <row r="40" spans="1:10" x14ac:dyDescent="0.45">
      <c r="A40" s="12"/>
      <c r="B40" s="12" t="s">
        <v>43</v>
      </c>
      <c r="C40" s="16">
        <v>1.913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1.913</v>
      </c>
    </row>
    <row r="41" spans="1:10" x14ac:dyDescent="0.45">
      <c r="A41" s="12" t="s">
        <v>130</v>
      </c>
      <c r="B41" s="12" t="s">
        <v>44</v>
      </c>
      <c r="C41" s="13">
        <v>14.57</v>
      </c>
      <c r="D41" s="12" t="s">
        <v>34</v>
      </c>
      <c r="E41" s="12" t="s">
        <v>154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14.57</v>
      </c>
    </row>
    <row r="42" spans="1:10" x14ac:dyDescent="0.45">
      <c r="A42" s="12"/>
      <c r="B42" s="12" t="s">
        <v>45</v>
      </c>
      <c r="C42" s="13">
        <v>5.39</v>
      </c>
      <c r="D42" s="12" t="s">
        <v>34</v>
      </c>
      <c r="E42" s="12" t="s">
        <v>180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5.39</v>
      </c>
    </row>
    <row r="43" spans="1:10" x14ac:dyDescent="0.45">
      <c r="A43" s="12" t="s">
        <v>131</v>
      </c>
      <c r="B43" s="12" t="s">
        <v>46</v>
      </c>
      <c r="C43" s="13">
        <v>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</v>
      </c>
    </row>
    <row r="44" spans="1:10" x14ac:dyDescent="0.45">
      <c r="A44" s="12"/>
      <c r="B44" s="12" t="s">
        <v>47</v>
      </c>
      <c r="C44" s="13">
        <v>2.13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2.13</v>
      </c>
    </row>
    <row r="45" spans="1:10" x14ac:dyDescent="0.45">
      <c r="A45" s="12" t="s">
        <v>132</v>
      </c>
      <c r="B45" s="12" t="s">
        <v>48</v>
      </c>
      <c r="C45" s="13">
        <v>0.89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0.89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40.94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40.94</v>
      </c>
    </row>
    <row r="48" spans="1:10" x14ac:dyDescent="0.45">
      <c r="A48" s="12"/>
      <c r="B48" s="12" t="s">
        <v>52</v>
      </c>
      <c r="C48" s="13">
        <v>43.61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43.61</v>
      </c>
    </row>
    <row r="49" spans="1:10" x14ac:dyDescent="0.45">
      <c r="A49" s="12" t="s">
        <v>134</v>
      </c>
      <c r="B49" s="12" t="s">
        <v>53</v>
      </c>
      <c r="C49" s="13">
        <v>129.93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129.93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disablePrompts="1" count="1">
    <dataValidation type="list" allowBlank="1" showInputMessage="1" showErrorMessage="1" sqref="O2 O65526 O131062 O196598 O262134 O327670 O393206 O458742 O524278 O589814 O655350 O720886 O786422 O851958 O917494 O983030" xr:uid="{D43C4FE0-F226-4E3E-AC2F-14B205999114}">
      <formula1>"PA,MA"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6ED1-5931-4530-B292-5A154DDD9405}">
  <sheetPr codeName="Sheet22">
    <tabColor theme="9"/>
  </sheetPr>
  <dimension ref="A1:P250"/>
  <sheetViews>
    <sheetView workbookViewId="0">
      <selection activeCell="M23" sqref="M23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3.5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3.5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3.5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3.5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UP0007-eff</v>
      </c>
      <c r="P3" s="4" t="str">
        <f ca="1">IF(LEFT(O3,11)="SHAPE-THIN ",MID(O3,12,50)&amp;"-"&amp;O2,O3&amp;"-"&amp;O2)</f>
        <v>UP0007-eff-MA</v>
      </c>
    </row>
    <row r="4" spans="1:16" x14ac:dyDescent="0.45">
      <c r="A4" s="12" t="s">
        <v>97</v>
      </c>
      <c r="B4" s="12" t="s">
        <v>7</v>
      </c>
      <c r="C4" s="13">
        <v>0.56999999999999995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0.56999999999999995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3.5</v>
      </c>
    </row>
    <row r="5" spans="1:16" x14ac:dyDescent="0.45">
      <c r="A5" s="12"/>
      <c r="B5" s="12" t="s">
        <v>8</v>
      </c>
      <c r="C5" s="13">
        <v>0.72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0.72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63.85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11.26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4.2699999999999996</v>
      </c>
    </row>
    <row r="8" spans="1:16" x14ac:dyDescent="0.45">
      <c r="A8" s="12" t="s">
        <v>100</v>
      </c>
      <c r="B8" s="12" t="s">
        <v>12</v>
      </c>
      <c r="C8" s="13">
        <v>63.85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63.85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1.79</v>
      </c>
    </row>
    <row r="9" spans="1:16" x14ac:dyDescent="0.45">
      <c r="A9" s="12"/>
      <c r="B9" s="12" t="s">
        <v>14</v>
      </c>
      <c r="C9" s="13">
        <v>11.26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11.26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10.63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2.72</v>
      </c>
    </row>
    <row r="11" spans="1:16" x14ac:dyDescent="0.45">
      <c r="A11" s="12" t="s">
        <v>104</v>
      </c>
      <c r="B11" s="12" t="s">
        <v>17</v>
      </c>
      <c r="C11" s="13">
        <v>75.11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75.11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132.06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132.06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4.03</v>
      </c>
    </row>
    <row r="13" spans="1:16" x14ac:dyDescent="0.45">
      <c r="A13" s="12" t="s">
        <v>105</v>
      </c>
      <c r="B13" s="12" t="s">
        <v>20</v>
      </c>
      <c r="C13" s="13">
        <v>4.2699999999999996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4.2699999999999996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470.91</v>
      </c>
    </row>
    <row r="14" spans="1:16" x14ac:dyDescent="0.45">
      <c r="A14" s="12"/>
      <c r="B14" s="12" t="s">
        <v>21</v>
      </c>
      <c r="C14" s="13">
        <v>1.79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1.79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4.63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4.63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6.14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6.14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1.89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1.89</v>
      </c>
    </row>
    <row r="18" spans="1:10" x14ac:dyDescent="0.45">
      <c r="A18" s="12" t="s">
        <v>111</v>
      </c>
      <c r="B18" s="12" t="s">
        <v>23</v>
      </c>
      <c r="C18" s="15">
        <v>2.7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2.7</v>
      </c>
    </row>
    <row r="19" spans="1:10" x14ac:dyDescent="0.45">
      <c r="A19" s="12" t="s">
        <v>112</v>
      </c>
      <c r="B19" s="12" t="s">
        <v>25</v>
      </c>
      <c r="C19" s="13">
        <v>53.01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53.01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33.380000000000003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33.380000000000003</v>
      </c>
    </row>
    <row r="22" spans="1:10" x14ac:dyDescent="0.45">
      <c r="A22" s="12" t="s">
        <v>116</v>
      </c>
      <c r="B22" s="12" t="s">
        <v>28</v>
      </c>
      <c r="C22" s="13">
        <v>4.03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4.03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4.03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4.03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1509.67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1509.67</v>
      </c>
    </row>
    <row r="27" spans="1:10" x14ac:dyDescent="0.45">
      <c r="A27" s="12"/>
      <c r="B27" s="12" t="s">
        <v>119</v>
      </c>
      <c r="C27" s="13">
        <v>470.91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470.91</v>
      </c>
    </row>
    <row r="28" spans="1:10" x14ac:dyDescent="0.45">
      <c r="A28" s="12" t="s">
        <v>120</v>
      </c>
      <c r="B28" s="12" t="s">
        <v>121</v>
      </c>
      <c r="C28" s="16">
        <v>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1E-3</v>
      </c>
    </row>
    <row r="29" spans="1:10" x14ac:dyDescent="0.45">
      <c r="A29" s="12" t="s">
        <v>122</v>
      </c>
      <c r="B29" s="12" t="s">
        <v>33</v>
      </c>
      <c r="C29" s="13">
        <v>10.63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10.63</v>
      </c>
    </row>
    <row r="30" spans="1:10" x14ac:dyDescent="0.45">
      <c r="A30" s="12"/>
      <c r="B30" s="12" t="s">
        <v>35</v>
      </c>
      <c r="C30" s="13">
        <v>-10.63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-10.63</v>
      </c>
    </row>
    <row r="31" spans="1:10" x14ac:dyDescent="0.45">
      <c r="A31" s="12"/>
      <c r="B31" s="12" t="s">
        <v>36</v>
      </c>
      <c r="C31" s="13">
        <v>5.75</v>
      </c>
      <c r="D31" s="12" t="s">
        <v>34</v>
      </c>
      <c r="E31" s="12" t="s">
        <v>151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5.75</v>
      </c>
    </row>
    <row r="32" spans="1:10" x14ac:dyDescent="0.45">
      <c r="A32" s="12"/>
      <c r="B32" s="12" t="s">
        <v>37</v>
      </c>
      <c r="C32" s="13">
        <v>-2.72</v>
      </c>
      <c r="D32" s="12" t="s">
        <v>34</v>
      </c>
      <c r="E32" s="12" t="s">
        <v>182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-2.72</v>
      </c>
    </row>
    <row r="33" spans="1:10" x14ac:dyDescent="0.45">
      <c r="A33" s="12" t="s">
        <v>123</v>
      </c>
      <c r="B33" s="12" t="s">
        <v>124</v>
      </c>
      <c r="C33" s="13">
        <v>19.09</v>
      </c>
      <c r="D33" s="12" t="s">
        <v>13</v>
      </c>
      <c r="E33" s="12" t="s">
        <v>169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19.09</v>
      </c>
    </row>
    <row r="34" spans="1:10" x14ac:dyDescent="0.45">
      <c r="A34" s="12"/>
      <c r="B34" s="12" t="s">
        <v>125</v>
      </c>
      <c r="C34" s="13">
        <v>-19.079999999999998</v>
      </c>
      <c r="D34" s="12" t="s">
        <v>13</v>
      </c>
      <c r="E34" s="12" t="s">
        <v>170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-19.079999999999998</v>
      </c>
    </row>
    <row r="35" spans="1:10" x14ac:dyDescent="0.45">
      <c r="A35" s="12" t="s">
        <v>126</v>
      </c>
      <c r="B35" s="12" t="s">
        <v>38</v>
      </c>
      <c r="C35" s="13">
        <v>0.13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0.13</v>
      </c>
    </row>
    <row r="36" spans="1:10" x14ac:dyDescent="0.45">
      <c r="A36" s="12" t="s">
        <v>127</v>
      </c>
      <c r="B36" s="12" t="s">
        <v>139</v>
      </c>
      <c r="C36" s="13">
        <v>-2.35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-2.35</v>
      </c>
    </row>
    <row r="37" spans="1:10" x14ac:dyDescent="0.45">
      <c r="A37" s="12"/>
      <c r="B37" s="12" t="s">
        <v>140</v>
      </c>
      <c r="C37" s="13">
        <v>-10.42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-10.42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4.8339999999999996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4.8339999999999996</v>
      </c>
    </row>
    <row r="40" spans="1:10" x14ac:dyDescent="0.45">
      <c r="A40" s="12"/>
      <c r="B40" s="12" t="s">
        <v>43</v>
      </c>
      <c r="C40" s="16">
        <v>1.8879999999999999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1.8879999999999999</v>
      </c>
    </row>
    <row r="41" spans="1:10" x14ac:dyDescent="0.45">
      <c r="A41" s="12" t="s">
        <v>130</v>
      </c>
      <c r="B41" s="12" t="s">
        <v>44</v>
      </c>
      <c r="C41" s="13">
        <v>13.62</v>
      </c>
      <c r="D41" s="12" t="s">
        <v>34</v>
      </c>
      <c r="E41" s="12" t="s">
        <v>159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13.62</v>
      </c>
    </row>
    <row r="42" spans="1:10" x14ac:dyDescent="0.45">
      <c r="A42" s="12"/>
      <c r="B42" s="12" t="s">
        <v>45</v>
      </c>
      <c r="C42" s="13">
        <v>5.32</v>
      </c>
      <c r="D42" s="12" t="s">
        <v>34</v>
      </c>
      <c r="E42" s="12" t="s">
        <v>168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5.32</v>
      </c>
    </row>
    <row r="43" spans="1:10" x14ac:dyDescent="0.45">
      <c r="A43" s="12" t="s">
        <v>131</v>
      </c>
      <c r="B43" s="12" t="s">
        <v>46</v>
      </c>
      <c r="C43" s="13">
        <v>1.84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1.84</v>
      </c>
    </row>
    <row r="44" spans="1:10" x14ac:dyDescent="0.45">
      <c r="A44" s="12"/>
      <c r="B44" s="12" t="s">
        <v>47</v>
      </c>
      <c r="C44" s="13">
        <v>2.13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2.13</v>
      </c>
    </row>
    <row r="45" spans="1:10" x14ac:dyDescent="0.45">
      <c r="A45" s="12" t="s">
        <v>132</v>
      </c>
      <c r="B45" s="12" t="s">
        <v>48</v>
      </c>
      <c r="C45" s="13">
        <v>1.1000000000000001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1.1000000000000001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37.659999999999997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37.659999999999997</v>
      </c>
    </row>
    <row r="48" spans="1:10" x14ac:dyDescent="0.45">
      <c r="A48" s="12"/>
      <c r="B48" s="12" t="s">
        <v>52</v>
      </c>
      <c r="C48" s="13">
        <v>43.61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43.61</v>
      </c>
    </row>
    <row r="49" spans="1:10" x14ac:dyDescent="0.45">
      <c r="A49" s="12" t="s">
        <v>134</v>
      </c>
      <c r="B49" s="12" t="s">
        <v>53</v>
      </c>
      <c r="C49" s="13">
        <v>124.23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124.23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disablePrompts="1" count="1">
    <dataValidation type="list" allowBlank="1" showInputMessage="1" showErrorMessage="1" sqref="O2 O65526 O131062 O196598 O262134 O327670 O393206 O458742 O524278 O589814 O655350 O720886 O786422 O851958 O917494 O983030" xr:uid="{74778559-A4DC-438F-B12D-E6BC40329021}">
      <formula1>"PA,MA"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>
    <tabColor theme="9"/>
  </sheetPr>
  <dimension ref="A1:P250"/>
  <sheetViews>
    <sheetView topLeftCell="A25" workbookViewId="0">
      <selection activeCell="G46" sqref="G4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4.7300000000000004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4.7300000000000004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4.7300000000000004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4.7300000000000004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UP0008-eff</v>
      </c>
      <c r="P3" s="4" t="str">
        <f ca="1">IF(LEFT(O3,11)="SHAPE-THIN ",MID(O3,12,50)&amp;"-"&amp;O2,O3&amp;"-"&amp;O2)</f>
        <v>UP0008-eff-MA</v>
      </c>
    </row>
    <row r="4" spans="1:16" x14ac:dyDescent="0.45">
      <c r="A4" s="12" t="s">
        <v>97</v>
      </c>
      <c r="B4" s="12" t="s">
        <v>7</v>
      </c>
      <c r="C4" s="13">
        <v>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4.7300000000000004</v>
      </c>
    </row>
    <row r="5" spans="1:16" x14ac:dyDescent="0.45">
      <c r="A5" s="12"/>
      <c r="B5" s="12" t="s">
        <v>8</v>
      </c>
      <c r="C5" s="13">
        <v>1.27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1.27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88.74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14.52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4.33</v>
      </c>
    </row>
    <row r="8" spans="1:16" x14ac:dyDescent="0.45">
      <c r="A8" s="12" t="s">
        <v>100</v>
      </c>
      <c r="B8" s="12" t="s">
        <v>12</v>
      </c>
      <c r="C8" s="13">
        <v>88.74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88.74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1.75</v>
      </c>
    </row>
    <row r="9" spans="1:16" x14ac:dyDescent="0.45">
      <c r="A9" s="12"/>
      <c r="B9" s="12" t="s">
        <v>14</v>
      </c>
      <c r="C9" s="13">
        <v>14.52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14.52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14.78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3.44</v>
      </c>
    </row>
    <row r="11" spans="1:16" x14ac:dyDescent="0.45">
      <c r="A11" s="12" t="s">
        <v>104</v>
      </c>
      <c r="B11" s="12" t="s">
        <v>17</v>
      </c>
      <c r="C11" s="13">
        <v>103.26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103.26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0.05</v>
      </c>
    </row>
    <row r="12" spans="1:16" x14ac:dyDescent="0.45">
      <c r="A12" s="12"/>
      <c r="B12" s="12" t="s">
        <v>18</v>
      </c>
      <c r="C12" s="13">
        <v>168.43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168.43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3.71</v>
      </c>
    </row>
    <row r="13" spans="1:16" x14ac:dyDescent="0.45">
      <c r="A13" s="12" t="s">
        <v>105</v>
      </c>
      <c r="B13" s="12" t="s">
        <v>20</v>
      </c>
      <c r="C13" s="13">
        <v>4.33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4.33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612</v>
      </c>
    </row>
    <row r="14" spans="1:16" x14ac:dyDescent="0.45">
      <c r="A14" s="12"/>
      <c r="B14" s="12" t="s">
        <v>21</v>
      </c>
      <c r="C14" s="13">
        <v>1.75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1.75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4.67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4.67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5.97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5.97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1.91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1.91</v>
      </c>
    </row>
    <row r="18" spans="1:10" x14ac:dyDescent="0.45">
      <c r="A18" s="12" t="s">
        <v>111</v>
      </c>
      <c r="B18" s="12" t="s">
        <v>23</v>
      </c>
      <c r="C18" s="15">
        <v>3.7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3.7</v>
      </c>
    </row>
    <row r="19" spans="1:10" x14ac:dyDescent="0.45">
      <c r="A19" s="12" t="s">
        <v>112</v>
      </c>
      <c r="B19" s="12" t="s">
        <v>25</v>
      </c>
      <c r="C19" s="13">
        <v>52.97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52.97</v>
      </c>
    </row>
    <row r="20" spans="1:10" x14ac:dyDescent="0.45">
      <c r="A20" s="12" t="s">
        <v>113</v>
      </c>
      <c r="B20" s="12" t="s">
        <v>26</v>
      </c>
      <c r="C20" s="13">
        <v>0.05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0.05</v>
      </c>
    </row>
    <row r="21" spans="1:10" x14ac:dyDescent="0.45">
      <c r="A21" s="12" t="s">
        <v>115</v>
      </c>
      <c r="B21" s="12" t="s">
        <v>27</v>
      </c>
      <c r="C21" s="13">
        <v>53.28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53.28</v>
      </c>
    </row>
    <row r="22" spans="1:10" x14ac:dyDescent="0.45">
      <c r="A22" s="12" t="s">
        <v>116</v>
      </c>
      <c r="B22" s="12" t="s">
        <v>28</v>
      </c>
      <c r="C22" s="13">
        <v>3.71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3.71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3.71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3.71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1835.63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1835.63</v>
      </c>
    </row>
    <row r="27" spans="1:10" x14ac:dyDescent="0.45">
      <c r="A27" s="12"/>
      <c r="B27" s="12" t="s">
        <v>119</v>
      </c>
      <c r="C27" s="13">
        <v>612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612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14.78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14.78</v>
      </c>
    </row>
    <row r="30" spans="1:10" x14ac:dyDescent="0.45">
      <c r="A30" s="12"/>
      <c r="B30" s="12" t="s">
        <v>35</v>
      </c>
      <c r="C30" s="13">
        <v>-14.78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-14.78</v>
      </c>
    </row>
    <row r="31" spans="1:10" x14ac:dyDescent="0.45">
      <c r="A31" s="12"/>
      <c r="B31" s="12" t="s">
        <v>36</v>
      </c>
      <c r="C31" s="13">
        <v>7.72</v>
      </c>
      <c r="D31" s="12" t="s">
        <v>34</v>
      </c>
      <c r="E31" s="12" t="s">
        <v>148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7.72</v>
      </c>
    </row>
    <row r="32" spans="1:10" x14ac:dyDescent="0.45">
      <c r="A32" s="12"/>
      <c r="B32" s="12" t="s">
        <v>37</v>
      </c>
      <c r="C32" s="13">
        <v>-3.44</v>
      </c>
      <c r="D32" s="12" t="s">
        <v>34</v>
      </c>
      <c r="E32" s="12" t="s">
        <v>149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-3.44</v>
      </c>
    </row>
    <row r="33" spans="1:10" x14ac:dyDescent="0.45">
      <c r="A33" s="12" t="s">
        <v>123</v>
      </c>
      <c r="B33" s="12" t="s">
        <v>124</v>
      </c>
      <c r="C33" s="13">
        <v>24.22</v>
      </c>
      <c r="D33" s="12" t="s">
        <v>13</v>
      </c>
      <c r="E33" s="12" t="s">
        <v>171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24.22</v>
      </c>
    </row>
    <row r="34" spans="1:10" x14ac:dyDescent="0.45">
      <c r="A34" s="12"/>
      <c r="B34" s="12" t="s">
        <v>125</v>
      </c>
      <c r="C34" s="13">
        <v>-24.23</v>
      </c>
      <c r="D34" s="12" t="s">
        <v>13</v>
      </c>
      <c r="E34" s="12" t="s">
        <v>147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-24.23</v>
      </c>
    </row>
    <row r="35" spans="1:10" x14ac:dyDescent="0.45">
      <c r="A35" s="12" t="s">
        <v>126</v>
      </c>
      <c r="B35" s="12" t="s">
        <v>38</v>
      </c>
      <c r="C35" s="13">
        <v>0.23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0.23</v>
      </c>
    </row>
    <row r="36" spans="1:10" x14ac:dyDescent="0.45">
      <c r="A36" s="12" t="s">
        <v>127</v>
      </c>
      <c r="B36" s="12" t="s">
        <v>139</v>
      </c>
      <c r="C36" s="13">
        <v>-2.2999999999999998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-2.2999999999999998</v>
      </c>
    </row>
    <row r="37" spans="1:10" x14ac:dyDescent="0.45">
      <c r="A37" s="12"/>
      <c r="B37" s="12" t="s">
        <v>140</v>
      </c>
      <c r="C37" s="13">
        <v>-9.73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-9.73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6.66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6.66</v>
      </c>
    </row>
    <row r="40" spans="1:10" x14ac:dyDescent="0.45">
      <c r="A40" s="12"/>
      <c r="B40" s="12" t="s">
        <v>43</v>
      </c>
      <c r="C40" s="16">
        <v>2.4209999999999998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2.4209999999999998</v>
      </c>
    </row>
    <row r="41" spans="1:10" x14ac:dyDescent="0.45">
      <c r="A41" s="12" t="s">
        <v>130</v>
      </c>
      <c r="B41" s="12" t="s">
        <v>44</v>
      </c>
      <c r="C41" s="13">
        <v>18.760000000000002</v>
      </c>
      <c r="D41" s="12" t="s">
        <v>34</v>
      </c>
      <c r="E41" s="12" t="s">
        <v>144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18.760000000000002</v>
      </c>
    </row>
    <row r="42" spans="1:10" x14ac:dyDescent="0.45">
      <c r="A42" s="12"/>
      <c r="B42" s="12" t="s">
        <v>45</v>
      </c>
      <c r="C42" s="13">
        <v>6.82</v>
      </c>
      <c r="D42" s="12" t="s">
        <v>34</v>
      </c>
      <c r="E42" s="12" t="s">
        <v>180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6.82</v>
      </c>
    </row>
    <row r="43" spans="1:10" x14ac:dyDescent="0.45">
      <c r="A43" s="12" t="s">
        <v>131</v>
      </c>
      <c r="B43" s="12" t="s">
        <v>46</v>
      </c>
      <c r="C43" s="13">
        <v>2.4900000000000002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2.4900000000000002</v>
      </c>
    </row>
    <row r="44" spans="1:10" x14ac:dyDescent="0.45">
      <c r="A44" s="12"/>
      <c r="B44" s="12" t="s">
        <v>47</v>
      </c>
      <c r="C44" s="13">
        <v>2.82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2.82</v>
      </c>
    </row>
    <row r="45" spans="1:10" x14ac:dyDescent="0.45">
      <c r="A45" s="12" t="s">
        <v>132</v>
      </c>
      <c r="B45" s="12" t="s">
        <v>48</v>
      </c>
      <c r="C45" s="13">
        <v>0.99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0.99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51.02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51.02</v>
      </c>
    </row>
    <row r="48" spans="1:10" x14ac:dyDescent="0.45">
      <c r="A48" s="12"/>
      <c r="B48" s="12" t="s">
        <v>52</v>
      </c>
      <c r="C48" s="13">
        <v>57.7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57.7</v>
      </c>
    </row>
    <row r="49" spans="1:10" x14ac:dyDescent="0.45">
      <c r="A49" s="12" t="s">
        <v>134</v>
      </c>
      <c r="B49" s="12" t="s">
        <v>53</v>
      </c>
      <c r="C49" s="13">
        <v>167.76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167.76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1B4E7082-7F7E-48DB-BD68-A4B2F2D7FAFA}">
      <formula1>"PA,MA"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1030-B4AD-4654-9749-65E49EB769CB}">
  <sheetPr codeName="Sheet27">
    <tabColor theme="9"/>
  </sheetPr>
  <dimension ref="A1:P250"/>
  <sheetViews>
    <sheetView workbookViewId="0">
      <selection activeCell="M23" sqref="M23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4.3600000000000003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4.3600000000000003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4.3600000000000003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4.3600000000000003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UP0009-eff</v>
      </c>
      <c r="P3" s="4" t="str">
        <f ca="1">IF(LEFT(O3,11)="SHAPE-THIN ",MID(O3,12,50)&amp;"-"&amp;O2,O3&amp;"-"&amp;O2)</f>
        <v>UP0009-eff-MA</v>
      </c>
    </row>
    <row r="4" spans="1:16" x14ac:dyDescent="0.45">
      <c r="A4" s="12" t="s">
        <v>97</v>
      </c>
      <c r="B4" s="12" t="s">
        <v>7</v>
      </c>
      <c r="C4" s="13">
        <v>0.71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0.71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4.3600000000000003</v>
      </c>
    </row>
    <row r="5" spans="1:16" x14ac:dyDescent="0.45">
      <c r="A5" s="12"/>
      <c r="B5" s="12" t="s">
        <v>8</v>
      </c>
      <c r="C5" s="13">
        <v>0.9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0.9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78.84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13.9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4.25</v>
      </c>
    </row>
    <row r="8" spans="1:16" x14ac:dyDescent="0.45">
      <c r="A8" s="12" t="s">
        <v>100</v>
      </c>
      <c r="B8" s="12" t="s">
        <v>12</v>
      </c>
      <c r="C8" s="13">
        <v>78.84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78.84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1.78</v>
      </c>
    </row>
    <row r="9" spans="1:16" x14ac:dyDescent="0.45">
      <c r="A9" s="12"/>
      <c r="B9" s="12" t="s">
        <v>14</v>
      </c>
      <c r="C9" s="13">
        <v>13.9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13.9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13.13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3.37</v>
      </c>
    </row>
    <row r="11" spans="1:16" x14ac:dyDescent="0.45">
      <c r="A11" s="12" t="s">
        <v>104</v>
      </c>
      <c r="B11" s="12" t="s">
        <v>17</v>
      </c>
      <c r="C11" s="13">
        <v>92.74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92.74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0.04</v>
      </c>
    </row>
    <row r="12" spans="1:16" x14ac:dyDescent="0.45">
      <c r="A12" s="12"/>
      <c r="B12" s="12" t="s">
        <v>18</v>
      </c>
      <c r="C12" s="13">
        <v>162.88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162.88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4.01</v>
      </c>
    </row>
    <row r="13" spans="1:16" x14ac:dyDescent="0.45">
      <c r="A13" s="12" t="s">
        <v>105</v>
      </c>
      <c r="B13" s="12" t="s">
        <v>20</v>
      </c>
      <c r="C13" s="13">
        <v>4.25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4.25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576.98</v>
      </c>
    </row>
    <row r="14" spans="1:16" x14ac:dyDescent="0.45">
      <c r="A14" s="12"/>
      <c r="B14" s="12" t="s">
        <v>21</v>
      </c>
      <c r="C14" s="13">
        <v>1.78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1.78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4.6100000000000003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4.6100000000000003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6.11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6.11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1.88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1.88</v>
      </c>
    </row>
    <row r="18" spans="1:10" x14ac:dyDescent="0.45">
      <c r="A18" s="12" t="s">
        <v>111</v>
      </c>
      <c r="B18" s="12" t="s">
        <v>23</v>
      </c>
      <c r="C18" s="15">
        <v>3.4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3.4</v>
      </c>
    </row>
    <row r="19" spans="1:10" x14ac:dyDescent="0.45">
      <c r="A19" s="12" t="s">
        <v>112</v>
      </c>
      <c r="B19" s="12" t="s">
        <v>25</v>
      </c>
      <c r="C19" s="13">
        <v>52.97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52.97</v>
      </c>
    </row>
    <row r="20" spans="1:10" x14ac:dyDescent="0.45">
      <c r="A20" s="12" t="s">
        <v>113</v>
      </c>
      <c r="B20" s="12" t="s">
        <v>26</v>
      </c>
      <c r="C20" s="13">
        <v>0.04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0.04</v>
      </c>
    </row>
    <row r="21" spans="1:10" x14ac:dyDescent="0.45">
      <c r="A21" s="12" t="s">
        <v>115</v>
      </c>
      <c r="B21" s="12" t="s">
        <v>27</v>
      </c>
      <c r="C21" s="13">
        <v>41.03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41.03</v>
      </c>
    </row>
    <row r="22" spans="1:10" x14ac:dyDescent="0.45">
      <c r="A22" s="12" t="s">
        <v>116</v>
      </c>
      <c r="B22" s="12" t="s">
        <v>28</v>
      </c>
      <c r="C22" s="13">
        <v>4.01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4.01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4.01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4.01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1844.53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1844.53</v>
      </c>
    </row>
    <row r="27" spans="1:10" x14ac:dyDescent="0.45">
      <c r="A27" s="12"/>
      <c r="B27" s="12" t="s">
        <v>119</v>
      </c>
      <c r="C27" s="13">
        <v>576.98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576.98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13.13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13.13</v>
      </c>
    </row>
    <row r="30" spans="1:10" x14ac:dyDescent="0.45">
      <c r="A30" s="12"/>
      <c r="B30" s="12" t="s">
        <v>35</v>
      </c>
      <c r="C30" s="13">
        <v>-13.13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-13.13</v>
      </c>
    </row>
    <row r="31" spans="1:10" x14ac:dyDescent="0.45">
      <c r="A31" s="12"/>
      <c r="B31" s="12" t="s">
        <v>36</v>
      </c>
      <c r="C31" s="13">
        <v>7.05</v>
      </c>
      <c r="D31" s="12" t="s">
        <v>34</v>
      </c>
      <c r="E31" s="12" t="s">
        <v>183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7.05</v>
      </c>
    </row>
    <row r="32" spans="1:10" x14ac:dyDescent="0.45">
      <c r="A32" s="12"/>
      <c r="B32" s="12" t="s">
        <v>37</v>
      </c>
      <c r="C32" s="13">
        <v>-3.37</v>
      </c>
      <c r="D32" s="12" t="s">
        <v>34</v>
      </c>
      <c r="E32" s="12" t="s">
        <v>184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-3.37</v>
      </c>
    </row>
    <row r="33" spans="1:10" x14ac:dyDescent="0.45">
      <c r="A33" s="12" t="s">
        <v>123</v>
      </c>
      <c r="B33" s="12" t="s">
        <v>124</v>
      </c>
      <c r="C33" s="13">
        <v>23.59</v>
      </c>
      <c r="D33" s="12" t="s">
        <v>13</v>
      </c>
      <c r="E33" s="12" t="s">
        <v>171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23.59</v>
      </c>
    </row>
    <row r="34" spans="1:10" x14ac:dyDescent="0.45">
      <c r="A34" s="12"/>
      <c r="B34" s="12" t="s">
        <v>125</v>
      </c>
      <c r="C34" s="13">
        <v>-23.6</v>
      </c>
      <c r="D34" s="12" t="s">
        <v>13</v>
      </c>
      <c r="E34" s="12" t="s">
        <v>147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-23.6</v>
      </c>
    </row>
    <row r="35" spans="1:10" x14ac:dyDescent="0.45">
      <c r="A35" s="12" t="s">
        <v>126</v>
      </c>
      <c r="B35" s="12" t="s">
        <v>38</v>
      </c>
      <c r="C35" s="13">
        <v>0.2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</v>
      </c>
    </row>
    <row r="36" spans="1:10" x14ac:dyDescent="0.45">
      <c r="A36" s="12" t="s">
        <v>127</v>
      </c>
      <c r="B36" s="12" t="s">
        <v>139</v>
      </c>
      <c r="C36" s="13">
        <v>-2.3199999999999998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-2.3199999999999998</v>
      </c>
    </row>
    <row r="37" spans="1:10" x14ac:dyDescent="0.45">
      <c r="A37" s="12"/>
      <c r="B37" s="12" t="s">
        <v>140</v>
      </c>
      <c r="C37" s="13">
        <v>-10.34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-10.34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5.9969999999999999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5.9969999999999999</v>
      </c>
    </row>
    <row r="40" spans="1:10" x14ac:dyDescent="0.45">
      <c r="A40" s="12"/>
      <c r="B40" s="12" t="s">
        <v>43</v>
      </c>
      <c r="C40" s="16">
        <v>2.3410000000000002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2.3410000000000002</v>
      </c>
    </row>
    <row r="41" spans="1:10" x14ac:dyDescent="0.45">
      <c r="A41" s="12" t="s">
        <v>130</v>
      </c>
      <c r="B41" s="12" t="s">
        <v>44</v>
      </c>
      <c r="C41" s="13">
        <v>16.89</v>
      </c>
      <c r="D41" s="12" t="s">
        <v>34</v>
      </c>
      <c r="E41" s="12" t="s">
        <v>150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16.89</v>
      </c>
    </row>
    <row r="42" spans="1:10" x14ac:dyDescent="0.45">
      <c r="A42" s="12"/>
      <c r="B42" s="12" t="s">
        <v>45</v>
      </c>
      <c r="C42" s="13">
        <v>6.59</v>
      </c>
      <c r="D42" s="12" t="s">
        <v>34</v>
      </c>
      <c r="E42" s="12" t="s">
        <v>168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6.59</v>
      </c>
    </row>
    <row r="43" spans="1:10" x14ac:dyDescent="0.45">
      <c r="A43" s="12" t="s">
        <v>131</v>
      </c>
      <c r="B43" s="12" t="s">
        <v>46</v>
      </c>
      <c r="C43" s="13">
        <v>2.29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2.29</v>
      </c>
    </row>
    <row r="44" spans="1:10" x14ac:dyDescent="0.45">
      <c r="A44" s="12"/>
      <c r="B44" s="12" t="s">
        <v>47</v>
      </c>
      <c r="C44" s="13">
        <v>2.65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2.65</v>
      </c>
    </row>
    <row r="45" spans="1:10" x14ac:dyDescent="0.45">
      <c r="A45" s="12" t="s">
        <v>132</v>
      </c>
      <c r="B45" s="12" t="s">
        <v>48</v>
      </c>
      <c r="C45" s="13">
        <v>1.08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1.08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46.9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46.9</v>
      </c>
    </row>
    <row r="48" spans="1:10" x14ac:dyDescent="0.45">
      <c r="A48" s="12"/>
      <c r="B48" s="12" t="s">
        <v>52</v>
      </c>
      <c r="C48" s="13">
        <v>54.35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54.35</v>
      </c>
    </row>
    <row r="49" spans="1:10" x14ac:dyDescent="0.45">
      <c r="A49" s="12" t="s">
        <v>134</v>
      </c>
      <c r="B49" s="12" t="s">
        <v>53</v>
      </c>
      <c r="C49" s="13">
        <v>154.84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154.84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BD0ABA19-7D17-4311-8FFE-CB68746E5F2F}">
      <formula1>"PA,MA"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C7D7-FFDA-4285-B284-1AA166A048B7}">
  <sheetPr codeName="Sheet2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3.48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3.48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3.48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3.48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UP0010-eff</v>
      </c>
      <c r="P3" s="4" t="str">
        <f ca="1">IF(LEFT(O3,11)="SHAPE-THIN ",MID(O3,12,50)&amp;"-"&amp;O2,O3&amp;"-"&amp;O2)</f>
        <v>UP0010-eff-MA</v>
      </c>
    </row>
    <row r="4" spans="1:16" x14ac:dyDescent="0.45">
      <c r="A4" s="12" t="s">
        <v>97</v>
      </c>
      <c r="B4" s="12" t="s">
        <v>7</v>
      </c>
      <c r="C4" s="13">
        <v>1.01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1.01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3.48</v>
      </c>
    </row>
    <row r="5" spans="1:16" x14ac:dyDescent="0.45">
      <c r="A5" s="12"/>
      <c r="B5" s="12" t="s">
        <v>8</v>
      </c>
      <c r="C5" s="13">
        <v>0.46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0.46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35.17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15.04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3.18</v>
      </c>
    </row>
    <row r="8" spans="1:16" x14ac:dyDescent="0.45">
      <c r="A8" s="12" t="s">
        <v>100</v>
      </c>
      <c r="B8" s="12" t="s">
        <v>12</v>
      </c>
      <c r="C8" s="13">
        <v>35.17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35.17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2.08</v>
      </c>
    </row>
    <row r="9" spans="1:16" x14ac:dyDescent="0.45">
      <c r="A9" s="12"/>
      <c r="B9" s="12" t="s">
        <v>14</v>
      </c>
      <c r="C9" s="13">
        <v>15.04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15.04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7.81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3.89</v>
      </c>
    </row>
    <row r="11" spans="1:16" x14ac:dyDescent="0.45">
      <c r="A11" s="12" t="s">
        <v>104</v>
      </c>
      <c r="B11" s="12" t="s">
        <v>17</v>
      </c>
      <c r="C11" s="13">
        <v>50.21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50.21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142.36000000000001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142.36000000000001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5.14</v>
      </c>
    </row>
    <row r="13" spans="1:16" x14ac:dyDescent="0.45">
      <c r="A13" s="12" t="s">
        <v>105</v>
      </c>
      <c r="B13" s="12" t="s">
        <v>20</v>
      </c>
      <c r="C13" s="13">
        <v>3.18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3.18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344.7</v>
      </c>
    </row>
    <row r="14" spans="1:16" x14ac:dyDescent="0.45">
      <c r="A14" s="12"/>
      <c r="B14" s="12" t="s">
        <v>21</v>
      </c>
      <c r="C14" s="13">
        <v>2.08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3.8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3.8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6.39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6.39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1.56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1.56</v>
      </c>
    </row>
    <row r="18" spans="1:10" x14ac:dyDescent="0.45">
      <c r="A18" s="12" t="s">
        <v>111</v>
      </c>
      <c r="B18" s="12" t="s">
        <v>23</v>
      </c>
      <c r="C18" s="15">
        <v>2.7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2.7</v>
      </c>
    </row>
    <row r="19" spans="1:10" x14ac:dyDescent="0.45">
      <c r="A19" s="12" t="s">
        <v>112</v>
      </c>
      <c r="B19" s="12" t="s">
        <v>25</v>
      </c>
      <c r="C19" s="13">
        <v>50.92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50.92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21.68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21.68</v>
      </c>
    </row>
    <row r="22" spans="1:10" x14ac:dyDescent="0.45">
      <c r="A22" s="12" t="s">
        <v>116</v>
      </c>
      <c r="B22" s="12" t="s">
        <v>28</v>
      </c>
      <c r="C22" s="13">
        <v>5.14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5.14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5.14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5.14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1275.5999999999999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1275.5999999999999</v>
      </c>
    </row>
    <row r="27" spans="1:10" x14ac:dyDescent="0.45">
      <c r="A27" s="12"/>
      <c r="B27" s="12" t="s">
        <v>119</v>
      </c>
      <c r="C27" s="13">
        <v>344.7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344.7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7.81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7.81</v>
      </c>
    </row>
    <row r="30" spans="1:10" x14ac:dyDescent="0.45">
      <c r="A30" s="12"/>
      <c r="B30" s="12" t="s">
        <v>35</v>
      </c>
      <c r="C30" s="13">
        <v>-7.81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-7.81</v>
      </c>
    </row>
    <row r="31" spans="1:10" x14ac:dyDescent="0.45">
      <c r="A31" s="12"/>
      <c r="B31" s="12" t="s">
        <v>36</v>
      </c>
      <c r="C31" s="13">
        <v>6.28</v>
      </c>
      <c r="D31" s="12" t="s">
        <v>34</v>
      </c>
      <c r="E31" s="12" t="s">
        <v>153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6.28</v>
      </c>
    </row>
    <row r="32" spans="1:10" x14ac:dyDescent="0.45">
      <c r="A32" s="12"/>
      <c r="B32" s="12" t="s">
        <v>37</v>
      </c>
      <c r="C32" s="13">
        <v>-3.89</v>
      </c>
      <c r="D32" s="12" t="s">
        <v>34</v>
      </c>
      <c r="E32" s="12" t="s">
        <v>185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-3.89</v>
      </c>
    </row>
    <row r="33" spans="1:10" x14ac:dyDescent="0.45">
      <c r="A33" s="12" t="s">
        <v>123</v>
      </c>
      <c r="B33" s="12" t="s">
        <v>124</v>
      </c>
      <c r="C33" s="13">
        <v>19.899999999999999</v>
      </c>
      <c r="D33" s="12" t="s">
        <v>13</v>
      </c>
      <c r="E33" s="12" t="s">
        <v>186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19.899999999999999</v>
      </c>
    </row>
    <row r="34" spans="1:10" x14ac:dyDescent="0.45">
      <c r="A34" s="12"/>
      <c r="B34" s="12" t="s">
        <v>125</v>
      </c>
      <c r="C34" s="13">
        <v>-19.89</v>
      </c>
      <c r="D34" s="12" t="s">
        <v>13</v>
      </c>
      <c r="E34" s="12" t="s">
        <v>187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-19.89</v>
      </c>
    </row>
    <row r="35" spans="1:10" x14ac:dyDescent="0.45">
      <c r="A35" s="12" t="s">
        <v>126</v>
      </c>
      <c r="B35" s="12" t="s">
        <v>38</v>
      </c>
      <c r="C35" s="13">
        <v>0.13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0.13</v>
      </c>
    </row>
    <row r="36" spans="1:10" x14ac:dyDescent="0.45">
      <c r="A36" s="12" t="s">
        <v>127</v>
      </c>
      <c r="B36" s="12" t="s">
        <v>139</v>
      </c>
      <c r="C36" s="13">
        <v>-0.74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-0.74</v>
      </c>
    </row>
    <row r="37" spans="1:10" x14ac:dyDescent="0.45">
      <c r="A37" s="12"/>
      <c r="B37" s="12" t="s">
        <v>140</v>
      </c>
      <c r="C37" s="13">
        <v>-11.03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-11.03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3.609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3.609</v>
      </c>
    </row>
    <row r="40" spans="1:10" x14ac:dyDescent="0.45">
      <c r="A40" s="12"/>
      <c r="B40" s="12" t="s">
        <v>43</v>
      </c>
      <c r="C40" s="16">
        <v>2.2250000000000001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2.2250000000000001</v>
      </c>
    </row>
    <row r="41" spans="1:10" x14ac:dyDescent="0.45">
      <c r="A41" s="12" t="s">
        <v>130</v>
      </c>
      <c r="B41" s="12" t="s">
        <v>44</v>
      </c>
      <c r="C41" s="13">
        <v>10.16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10.16</v>
      </c>
    </row>
    <row r="42" spans="1:10" x14ac:dyDescent="0.45">
      <c r="A42" s="12"/>
      <c r="B42" s="12" t="s">
        <v>45</v>
      </c>
      <c r="C42" s="13">
        <v>6.27</v>
      </c>
      <c r="D42" s="12" t="s">
        <v>34</v>
      </c>
      <c r="E42" s="12" t="s">
        <v>160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6.27</v>
      </c>
    </row>
    <row r="43" spans="1:10" x14ac:dyDescent="0.45">
      <c r="A43" s="12" t="s">
        <v>131</v>
      </c>
      <c r="B43" s="12" t="s">
        <v>46</v>
      </c>
      <c r="C43" s="13">
        <v>2.04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2.04</v>
      </c>
    </row>
    <row r="44" spans="1:10" x14ac:dyDescent="0.45">
      <c r="A44" s="12"/>
      <c r="B44" s="12" t="s">
        <v>47</v>
      </c>
      <c r="C44" s="13">
        <v>2.0299999999999998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2.0299999999999998</v>
      </c>
    </row>
    <row r="45" spans="1:10" x14ac:dyDescent="0.45">
      <c r="A45" s="12" t="s">
        <v>132</v>
      </c>
      <c r="B45" s="12" t="s">
        <v>48</v>
      </c>
      <c r="C45" s="13">
        <v>0.25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0.25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41.72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41.72</v>
      </c>
    </row>
    <row r="48" spans="1:10" x14ac:dyDescent="0.45">
      <c r="A48" s="12"/>
      <c r="B48" s="12" t="s">
        <v>52</v>
      </c>
      <c r="C48" s="13">
        <v>41.66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41.66</v>
      </c>
    </row>
    <row r="49" spans="1:10" x14ac:dyDescent="0.45">
      <c r="A49" s="12" t="s">
        <v>134</v>
      </c>
      <c r="B49" s="12" t="s">
        <v>53</v>
      </c>
      <c r="C49" s="13">
        <v>123.54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123.54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disablePrompts="1" count="1">
    <dataValidation type="list" allowBlank="1" showInputMessage="1" showErrorMessage="1" sqref="O2 O65526 O131062 O196598 O262134 O327670 O393206 O458742 O524278 O589814 O655350 O720886 O786422 O851958 O917494 O983030" xr:uid="{D867246D-8C5D-4EFD-B6D6-488AA9071C74}">
      <formula1>"PA,MA"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AB3F-2CD6-4B36-BEEA-845282BACD1C}">
  <sheetPr codeName="Sheet5">
    <tabColor theme="9"/>
  </sheetPr>
  <dimension ref="A1:P250"/>
  <sheetViews>
    <sheetView workbookViewId="0">
      <selection activeCell="E9" sqref="E9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3.26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3.26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3.26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3.26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UP0011-eff</v>
      </c>
      <c r="P3" s="4" t="str">
        <f ca="1">IF(LEFT(O3,11)="SHAPE-THIN ",MID(O3,12,50)&amp;"-"&amp;O2,O3&amp;"-"&amp;O2)</f>
        <v>UP0011-eff-MA</v>
      </c>
    </row>
    <row r="4" spans="1:16" x14ac:dyDescent="0.45">
      <c r="A4" s="12" t="s">
        <v>97</v>
      </c>
      <c r="B4" s="12" t="s">
        <v>7</v>
      </c>
      <c r="C4" s="13">
        <v>0.81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0.81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3.26</v>
      </c>
    </row>
    <row r="5" spans="1:16" x14ac:dyDescent="0.45">
      <c r="A5" s="12"/>
      <c r="B5" s="12" t="s">
        <v>8</v>
      </c>
      <c r="C5" s="13">
        <v>0.37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0.37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31.59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14.5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3.11</v>
      </c>
    </row>
    <row r="8" spans="1:16" x14ac:dyDescent="0.45">
      <c r="A8" s="12" t="s">
        <v>100</v>
      </c>
      <c r="B8" s="12" t="s">
        <v>12</v>
      </c>
      <c r="C8" s="13">
        <v>31.59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31.59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2.11</v>
      </c>
    </row>
    <row r="9" spans="1:16" x14ac:dyDescent="0.45">
      <c r="A9" s="12"/>
      <c r="B9" s="12" t="s">
        <v>14</v>
      </c>
      <c r="C9" s="13">
        <v>14.5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14.5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7.02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3.8</v>
      </c>
    </row>
    <row r="11" spans="1:16" x14ac:dyDescent="0.45">
      <c r="A11" s="12" t="s">
        <v>104</v>
      </c>
      <c r="B11" s="12" t="s">
        <v>17</v>
      </c>
      <c r="C11" s="13">
        <v>46.09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46.09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139.97999999999999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139.97999999999999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5.37</v>
      </c>
    </row>
    <row r="13" spans="1:16" x14ac:dyDescent="0.45">
      <c r="A13" s="12" t="s">
        <v>105</v>
      </c>
      <c r="B13" s="12" t="s">
        <v>20</v>
      </c>
      <c r="C13" s="13">
        <v>3.11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3.11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323.82</v>
      </c>
    </row>
    <row r="14" spans="1:16" x14ac:dyDescent="0.45">
      <c r="A14" s="12"/>
      <c r="B14" s="12" t="s">
        <v>21</v>
      </c>
      <c r="C14" s="13">
        <v>2.11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2.11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3.76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3.76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6.56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6.56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1.52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1.52</v>
      </c>
    </row>
    <row r="18" spans="1:10" x14ac:dyDescent="0.45">
      <c r="A18" s="12" t="s">
        <v>111</v>
      </c>
      <c r="B18" s="12" t="s">
        <v>23</v>
      </c>
      <c r="C18" s="15">
        <v>2.6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2.6</v>
      </c>
    </row>
    <row r="19" spans="1:10" x14ac:dyDescent="0.45">
      <c r="A19" s="12" t="s">
        <v>112</v>
      </c>
      <c r="B19" s="12" t="s">
        <v>25</v>
      </c>
      <c r="C19" s="13">
        <v>51.41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51.41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17.87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17.87</v>
      </c>
    </row>
    <row r="22" spans="1:10" x14ac:dyDescent="0.45">
      <c r="A22" s="12" t="s">
        <v>116</v>
      </c>
      <c r="B22" s="12" t="s">
        <v>28</v>
      </c>
      <c r="C22" s="13">
        <v>5.37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5.37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5.37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5.37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1234.8499999999999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1234.8499999999999</v>
      </c>
    </row>
    <row r="27" spans="1:10" x14ac:dyDescent="0.45">
      <c r="A27" s="12"/>
      <c r="B27" s="12" t="s">
        <v>119</v>
      </c>
      <c r="C27" s="13">
        <v>323.82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323.82</v>
      </c>
    </row>
    <row r="28" spans="1:10" x14ac:dyDescent="0.45">
      <c r="A28" s="12" t="s">
        <v>120</v>
      </c>
      <c r="B28" s="12" t="s">
        <v>121</v>
      </c>
      <c r="C28" s="16">
        <v>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3.0000000000000001E-3</v>
      </c>
    </row>
    <row r="29" spans="1:10" x14ac:dyDescent="0.45">
      <c r="A29" s="12" t="s">
        <v>122</v>
      </c>
      <c r="B29" s="12" t="s">
        <v>33</v>
      </c>
      <c r="C29" s="13">
        <v>7.02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7.02</v>
      </c>
    </row>
    <row r="30" spans="1:10" x14ac:dyDescent="0.45">
      <c r="A30" s="12"/>
      <c r="B30" s="12" t="s">
        <v>35</v>
      </c>
      <c r="C30" s="13">
        <v>-7.02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-7.02</v>
      </c>
    </row>
    <row r="31" spans="1:10" x14ac:dyDescent="0.45">
      <c r="A31" s="12"/>
      <c r="B31" s="12" t="s">
        <v>36</v>
      </c>
      <c r="C31" s="13">
        <v>5.92</v>
      </c>
      <c r="D31" s="12" t="s">
        <v>34</v>
      </c>
      <c r="E31" s="12" t="s">
        <v>152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5.92</v>
      </c>
    </row>
    <row r="32" spans="1:10" x14ac:dyDescent="0.45">
      <c r="A32" s="12"/>
      <c r="B32" s="12" t="s">
        <v>37</v>
      </c>
      <c r="C32" s="13">
        <v>-3.8</v>
      </c>
      <c r="D32" s="12" t="s">
        <v>34</v>
      </c>
      <c r="E32" s="12" t="s">
        <v>188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-3.8</v>
      </c>
    </row>
    <row r="33" spans="1:10" x14ac:dyDescent="0.45">
      <c r="A33" s="12" t="s">
        <v>123</v>
      </c>
      <c r="B33" s="12" t="s">
        <v>124</v>
      </c>
      <c r="C33" s="13">
        <v>19.16</v>
      </c>
      <c r="D33" s="12" t="s">
        <v>13</v>
      </c>
      <c r="E33" s="12" t="s">
        <v>189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19.16</v>
      </c>
    </row>
    <row r="34" spans="1:10" x14ac:dyDescent="0.45">
      <c r="A34" s="12"/>
      <c r="B34" s="12" t="s">
        <v>125</v>
      </c>
      <c r="C34" s="13">
        <v>-19.149999999999999</v>
      </c>
      <c r="D34" s="12" t="s">
        <v>13</v>
      </c>
      <c r="E34" s="12" t="s">
        <v>190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-19.149999999999999</v>
      </c>
    </row>
    <row r="35" spans="1:10" x14ac:dyDescent="0.45">
      <c r="A35" s="12" t="s">
        <v>126</v>
      </c>
      <c r="B35" s="12" t="s">
        <v>38</v>
      </c>
      <c r="C35" s="13">
        <v>0.11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0.11</v>
      </c>
    </row>
    <row r="36" spans="1:10" x14ac:dyDescent="0.45">
      <c r="A36" s="12" t="s">
        <v>127</v>
      </c>
      <c r="B36" s="12" t="s">
        <v>139</v>
      </c>
      <c r="C36" s="13">
        <v>-0.74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-0.74</v>
      </c>
    </row>
    <row r="37" spans="1:10" x14ac:dyDescent="0.45">
      <c r="A37" s="12"/>
      <c r="B37" s="12" t="s">
        <v>140</v>
      </c>
      <c r="C37" s="13">
        <v>-11.48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-11.48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3.298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3.298</v>
      </c>
    </row>
    <row r="40" spans="1:10" x14ac:dyDescent="0.45">
      <c r="A40" s="12"/>
      <c r="B40" s="12" t="s">
        <v>43</v>
      </c>
      <c r="C40" s="16">
        <v>2.12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2.12</v>
      </c>
    </row>
    <row r="41" spans="1:10" x14ac:dyDescent="0.45">
      <c r="A41" s="12" t="s">
        <v>130</v>
      </c>
      <c r="B41" s="12" t="s">
        <v>44</v>
      </c>
      <c r="C41" s="13">
        <v>9.2899999999999991</v>
      </c>
      <c r="D41" s="12" t="s">
        <v>34</v>
      </c>
      <c r="E41" s="12" t="s">
        <v>156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9.2899999999999991</v>
      </c>
    </row>
    <row r="42" spans="1:10" x14ac:dyDescent="0.45">
      <c r="A42" s="12"/>
      <c r="B42" s="12" t="s">
        <v>45</v>
      </c>
      <c r="C42" s="13">
        <v>5.97</v>
      </c>
      <c r="D42" s="12" t="s">
        <v>34</v>
      </c>
      <c r="E42" s="12" t="s">
        <v>191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5.97</v>
      </c>
    </row>
    <row r="43" spans="1:10" x14ac:dyDescent="0.45">
      <c r="A43" s="12" t="s">
        <v>131</v>
      </c>
      <c r="B43" s="12" t="s">
        <v>46</v>
      </c>
      <c r="C43" s="13">
        <v>1.85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1.85</v>
      </c>
    </row>
    <row r="44" spans="1:10" x14ac:dyDescent="0.45">
      <c r="A44" s="12"/>
      <c r="B44" s="12" t="s">
        <v>47</v>
      </c>
      <c r="C44" s="13">
        <v>2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</v>
      </c>
    </row>
    <row r="45" spans="1:10" x14ac:dyDescent="0.45">
      <c r="A45" s="12" t="s">
        <v>132</v>
      </c>
      <c r="B45" s="12" t="s">
        <v>48</v>
      </c>
      <c r="C45" s="13">
        <v>0.05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0.05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37.83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37.83</v>
      </c>
    </row>
    <row r="48" spans="1:10" x14ac:dyDescent="0.45">
      <c r="A48" s="12"/>
      <c r="B48" s="12" t="s">
        <v>52</v>
      </c>
      <c r="C48" s="13">
        <v>40.94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40.94</v>
      </c>
    </row>
    <row r="49" spans="1:10" x14ac:dyDescent="0.45">
      <c r="A49" s="12" t="s">
        <v>134</v>
      </c>
      <c r="B49" s="12" t="s">
        <v>53</v>
      </c>
      <c r="C49" s="13">
        <v>115.54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115.54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F37B12F5-AAAA-40A4-8801-7012CF12172A}">
      <formula1>"PA,MA"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B08E-C319-45CC-BD8A-A7BD2B5A823F}">
  <sheetPr codeName="Sheet7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4.2699999999999996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4.2699999999999996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4.2699999999999996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4.2699999999999996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UP0012-eff</v>
      </c>
      <c r="P3" s="4" t="str">
        <f ca="1">IF(LEFT(O3,11)="SHAPE-THIN ",MID(O3,12,50)&amp;"-"&amp;O2,O3&amp;"-"&amp;O2)</f>
        <v>UP0012-eff-MA</v>
      </c>
    </row>
    <row r="4" spans="1:16" x14ac:dyDescent="0.45">
      <c r="A4" s="12" t="s">
        <v>97</v>
      </c>
      <c r="B4" s="12" t="s">
        <v>7</v>
      </c>
      <c r="C4" s="13">
        <v>1.17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1.17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4.2699999999999996</v>
      </c>
    </row>
    <row r="5" spans="1:16" x14ac:dyDescent="0.45">
      <c r="A5" s="12"/>
      <c r="B5" s="12" t="s">
        <v>8</v>
      </c>
      <c r="C5" s="13">
        <v>0.5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0.5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42.86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18.39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3.17</v>
      </c>
    </row>
    <row r="8" spans="1:16" x14ac:dyDescent="0.45">
      <c r="A8" s="12" t="s">
        <v>100</v>
      </c>
      <c r="B8" s="12" t="s">
        <v>12</v>
      </c>
      <c r="C8" s="13">
        <v>42.86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42.86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2.08</v>
      </c>
    </row>
    <row r="9" spans="1:16" x14ac:dyDescent="0.45">
      <c r="A9" s="12"/>
      <c r="B9" s="12" t="s">
        <v>14</v>
      </c>
      <c r="C9" s="13">
        <v>18.39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18.39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9.5299999999999994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4.74</v>
      </c>
    </row>
    <row r="11" spans="1:16" x14ac:dyDescent="0.45">
      <c r="A11" s="12" t="s">
        <v>104</v>
      </c>
      <c r="B11" s="12" t="s">
        <v>17</v>
      </c>
      <c r="C11" s="13">
        <v>61.25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61.25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0.04</v>
      </c>
    </row>
    <row r="12" spans="1:16" x14ac:dyDescent="0.45">
      <c r="A12" s="12"/>
      <c r="B12" s="12" t="s">
        <v>18</v>
      </c>
      <c r="C12" s="13">
        <v>173.97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173.97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5.14</v>
      </c>
    </row>
    <row r="13" spans="1:16" x14ac:dyDescent="0.45">
      <c r="A13" s="12" t="s">
        <v>105</v>
      </c>
      <c r="B13" s="12" t="s">
        <v>20</v>
      </c>
      <c r="C13" s="13">
        <v>3.17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3.17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411.89</v>
      </c>
    </row>
    <row r="14" spans="1:16" x14ac:dyDescent="0.45">
      <c r="A14" s="12"/>
      <c r="B14" s="12" t="s">
        <v>21</v>
      </c>
      <c r="C14" s="13">
        <v>2.08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3.79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3.79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6.38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6.38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1.54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1.54</v>
      </c>
    </row>
    <row r="18" spans="1:10" x14ac:dyDescent="0.45">
      <c r="A18" s="12" t="s">
        <v>111</v>
      </c>
      <c r="B18" s="12" t="s">
        <v>23</v>
      </c>
      <c r="C18" s="15">
        <v>3.4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3.4</v>
      </c>
    </row>
    <row r="19" spans="1:10" x14ac:dyDescent="0.45">
      <c r="A19" s="12" t="s">
        <v>112</v>
      </c>
      <c r="B19" s="12" t="s">
        <v>25</v>
      </c>
      <c r="C19" s="13">
        <v>51.32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51.32</v>
      </c>
    </row>
    <row r="20" spans="1:10" x14ac:dyDescent="0.45">
      <c r="A20" s="12" t="s">
        <v>113</v>
      </c>
      <c r="B20" s="12" t="s">
        <v>26</v>
      </c>
      <c r="C20" s="13">
        <v>0.04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0.04</v>
      </c>
    </row>
    <row r="21" spans="1:10" x14ac:dyDescent="0.45">
      <c r="A21" s="12" t="s">
        <v>115</v>
      </c>
      <c r="B21" s="12" t="s">
        <v>27</v>
      </c>
      <c r="C21" s="13">
        <v>24.87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24.87</v>
      </c>
    </row>
    <row r="22" spans="1:10" x14ac:dyDescent="0.45">
      <c r="A22" s="12" t="s">
        <v>116</v>
      </c>
      <c r="B22" s="12" t="s">
        <v>28</v>
      </c>
      <c r="C22" s="13">
        <v>5.14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5.14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5.14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5.14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1543.31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1543.31</v>
      </c>
    </row>
    <row r="27" spans="1:10" x14ac:dyDescent="0.45">
      <c r="A27" s="12"/>
      <c r="B27" s="12" t="s">
        <v>119</v>
      </c>
      <c r="C27" s="13">
        <v>411.89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411.89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9.5299999999999994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9.5299999999999994</v>
      </c>
    </row>
    <row r="30" spans="1:10" x14ac:dyDescent="0.45">
      <c r="A30" s="12"/>
      <c r="B30" s="12" t="s">
        <v>35</v>
      </c>
      <c r="C30" s="13">
        <v>-9.5299999999999994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-9.5299999999999994</v>
      </c>
    </row>
    <row r="31" spans="1:10" x14ac:dyDescent="0.45">
      <c r="A31" s="12"/>
      <c r="B31" s="12" t="s">
        <v>36</v>
      </c>
      <c r="C31" s="13">
        <v>7.59</v>
      </c>
      <c r="D31" s="12" t="s">
        <v>34</v>
      </c>
      <c r="E31" s="12" t="s">
        <v>157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7.59</v>
      </c>
    </row>
    <row r="32" spans="1:10" x14ac:dyDescent="0.45">
      <c r="A32" s="12"/>
      <c r="B32" s="12" t="s">
        <v>37</v>
      </c>
      <c r="C32" s="13">
        <v>-4.74</v>
      </c>
      <c r="D32" s="12" t="s">
        <v>34</v>
      </c>
      <c r="E32" s="12" t="s">
        <v>192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-4.74</v>
      </c>
    </row>
    <row r="33" spans="1:10" x14ac:dyDescent="0.45">
      <c r="A33" s="12" t="s">
        <v>123</v>
      </c>
      <c r="B33" s="12" t="s">
        <v>124</v>
      </c>
      <c r="C33" s="13">
        <v>24.04</v>
      </c>
      <c r="D33" s="12" t="s">
        <v>13</v>
      </c>
      <c r="E33" s="12" t="s">
        <v>193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24.04</v>
      </c>
    </row>
    <row r="34" spans="1:10" x14ac:dyDescent="0.45">
      <c r="A34" s="12"/>
      <c r="B34" s="12" t="s">
        <v>125</v>
      </c>
      <c r="C34" s="13">
        <v>-24.02</v>
      </c>
      <c r="D34" s="12" t="s">
        <v>13</v>
      </c>
      <c r="E34" s="12" t="s">
        <v>194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-24.02</v>
      </c>
    </row>
    <row r="35" spans="1:10" x14ac:dyDescent="0.45">
      <c r="A35" s="12" t="s">
        <v>126</v>
      </c>
      <c r="B35" s="12" t="s">
        <v>38</v>
      </c>
      <c r="C35" s="13">
        <v>0.19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0.19</v>
      </c>
    </row>
    <row r="36" spans="1:10" x14ac:dyDescent="0.45">
      <c r="A36" s="12" t="s">
        <v>127</v>
      </c>
      <c r="B36" s="12" t="s">
        <v>139</v>
      </c>
      <c r="C36" s="13">
        <v>-0.74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-0.74</v>
      </c>
    </row>
    <row r="37" spans="1:10" x14ac:dyDescent="0.45">
      <c r="A37" s="12"/>
      <c r="B37" s="12" t="s">
        <v>140</v>
      </c>
      <c r="C37" s="13">
        <v>-11.02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-11.02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4.4089999999999998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4.4089999999999998</v>
      </c>
    </row>
    <row r="40" spans="1:10" x14ac:dyDescent="0.45">
      <c r="A40" s="12"/>
      <c r="B40" s="12" t="s">
        <v>43</v>
      </c>
      <c r="C40" s="16">
        <v>2.7130000000000001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2.7130000000000001</v>
      </c>
    </row>
    <row r="41" spans="1:10" x14ac:dyDescent="0.45">
      <c r="A41" s="12" t="s">
        <v>130</v>
      </c>
      <c r="B41" s="12" t="s">
        <v>44</v>
      </c>
      <c r="C41" s="13">
        <v>12.42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12.42</v>
      </c>
    </row>
    <row r="42" spans="1:10" x14ac:dyDescent="0.45">
      <c r="A42" s="12"/>
      <c r="B42" s="12" t="s">
        <v>45</v>
      </c>
      <c r="C42" s="13">
        <v>7.64</v>
      </c>
      <c r="D42" s="12" t="s">
        <v>34</v>
      </c>
      <c r="E42" s="12" t="s">
        <v>160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7.64</v>
      </c>
    </row>
    <row r="43" spans="1:10" x14ac:dyDescent="0.45">
      <c r="A43" s="12" t="s">
        <v>131</v>
      </c>
      <c r="B43" s="12" t="s">
        <v>46</v>
      </c>
      <c r="C43" s="13">
        <v>2.5099999999999998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2.5099999999999998</v>
      </c>
    </row>
    <row r="44" spans="1:10" x14ac:dyDescent="0.45">
      <c r="A44" s="12"/>
      <c r="B44" s="12" t="s">
        <v>47</v>
      </c>
      <c r="C44" s="13">
        <v>2.5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2.5</v>
      </c>
    </row>
    <row r="45" spans="1:10" x14ac:dyDescent="0.45">
      <c r="A45" s="12" t="s">
        <v>132</v>
      </c>
      <c r="B45" s="12" t="s">
        <v>48</v>
      </c>
      <c r="C45" s="13">
        <v>0.24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0.24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51.4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51.4</v>
      </c>
    </row>
    <row r="48" spans="1:10" x14ac:dyDescent="0.45">
      <c r="A48" s="12"/>
      <c r="B48" s="12" t="s">
        <v>52</v>
      </c>
      <c r="C48" s="13">
        <v>51.17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51.17</v>
      </c>
    </row>
    <row r="49" spans="1:10" x14ac:dyDescent="0.45">
      <c r="A49" s="12" t="s">
        <v>134</v>
      </c>
      <c r="B49" s="12" t="s">
        <v>53</v>
      </c>
      <c r="C49" s="13">
        <v>151.54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151.54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36C589BF-8934-46DE-BC1B-759C82728F71}">
      <formula1>"PA,MA"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C1DD-617C-4347-BB8A-22E99C128819}">
  <sheetPr codeName="Sheet8">
    <tabColor theme="9"/>
  </sheetPr>
  <dimension ref="A1:P250"/>
  <sheetViews>
    <sheetView workbookViewId="0">
      <selection activeCell="J23" sqref="J23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4.07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4.07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4.07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4.07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UP0013-eff</v>
      </c>
      <c r="P3" s="4" t="str">
        <f ca="1">IF(LEFT(O3,11)="SHAPE-THIN ",MID(O3,12,50)&amp;"-"&amp;O2,O3&amp;"-"&amp;O2)</f>
        <v>UP0013-eff-MA</v>
      </c>
    </row>
    <row r="4" spans="1:16" x14ac:dyDescent="0.45">
      <c r="A4" s="12" t="s">
        <v>97</v>
      </c>
      <c r="B4" s="12" t="s">
        <v>7</v>
      </c>
      <c r="C4" s="13">
        <v>1.01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1.01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4.07</v>
      </c>
    </row>
    <row r="5" spans="1:16" x14ac:dyDescent="0.45">
      <c r="A5" s="12"/>
      <c r="B5" s="12" t="s">
        <v>8</v>
      </c>
      <c r="C5" s="13">
        <v>0.46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0.46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38.979999999999997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18.149999999999999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3.09</v>
      </c>
    </row>
    <row r="8" spans="1:16" x14ac:dyDescent="0.45">
      <c r="A8" s="12" t="s">
        <v>100</v>
      </c>
      <c r="B8" s="12" t="s">
        <v>12</v>
      </c>
      <c r="C8" s="13">
        <v>38.979999999999997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38.979999999999997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2.11</v>
      </c>
    </row>
    <row r="9" spans="1:16" x14ac:dyDescent="0.45">
      <c r="A9" s="12"/>
      <c r="B9" s="12" t="s">
        <v>14</v>
      </c>
      <c r="C9" s="13">
        <v>18.149999999999999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18.149999999999999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8.66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4.74</v>
      </c>
    </row>
    <row r="11" spans="1:16" x14ac:dyDescent="0.45">
      <c r="A11" s="12" t="s">
        <v>104</v>
      </c>
      <c r="B11" s="12" t="s">
        <v>17</v>
      </c>
      <c r="C11" s="13">
        <v>57.12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57.12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0.03</v>
      </c>
    </row>
    <row r="12" spans="1:16" x14ac:dyDescent="0.45">
      <c r="A12" s="12"/>
      <c r="B12" s="12" t="s">
        <v>18</v>
      </c>
      <c r="C12" s="13">
        <v>174.45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174.45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5.37</v>
      </c>
    </row>
    <row r="13" spans="1:16" x14ac:dyDescent="0.45">
      <c r="A13" s="12" t="s">
        <v>105</v>
      </c>
      <c r="B13" s="12" t="s">
        <v>20</v>
      </c>
      <c r="C13" s="13">
        <v>3.09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3.09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397.72</v>
      </c>
    </row>
    <row r="14" spans="1:16" x14ac:dyDescent="0.45">
      <c r="A14" s="12"/>
      <c r="B14" s="12" t="s">
        <v>21</v>
      </c>
      <c r="C14" s="13">
        <v>2.11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2.11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3.75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3.75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6.55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6.55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1.51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1.51</v>
      </c>
    </row>
    <row r="18" spans="1:10" x14ac:dyDescent="0.45">
      <c r="A18" s="12" t="s">
        <v>111</v>
      </c>
      <c r="B18" s="12" t="s">
        <v>23</v>
      </c>
      <c r="C18" s="15">
        <v>3.2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3.2</v>
      </c>
    </row>
    <row r="19" spans="1:10" x14ac:dyDescent="0.45">
      <c r="A19" s="12" t="s">
        <v>112</v>
      </c>
      <c r="B19" s="12" t="s">
        <v>25</v>
      </c>
      <c r="C19" s="13">
        <v>51.79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51.79</v>
      </c>
    </row>
    <row r="20" spans="1:10" x14ac:dyDescent="0.45">
      <c r="A20" s="12" t="s">
        <v>113</v>
      </c>
      <c r="B20" s="12" t="s">
        <v>26</v>
      </c>
      <c r="C20" s="13">
        <v>0.03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0.03</v>
      </c>
    </row>
    <row r="21" spans="1:10" x14ac:dyDescent="0.45">
      <c r="A21" s="12" t="s">
        <v>115</v>
      </c>
      <c r="B21" s="12" t="s">
        <v>27</v>
      </c>
      <c r="C21" s="13">
        <v>21.81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21.81</v>
      </c>
    </row>
    <row r="22" spans="1:10" x14ac:dyDescent="0.45">
      <c r="A22" s="12" t="s">
        <v>116</v>
      </c>
      <c r="B22" s="12" t="s">
        <v>28</v>
      </c>
      <c r="C22" s="13">
        <v>5.37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5.37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5.37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5.37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1521.46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1521.46</v>
      </c>
    </row>
    <row r="27" spans="1:10" x14ac:dyDescent="0.45">
      <c r="A27" s="12"/>
      <c r="B27" s="12" t="s">
        <v>119</v>
      </c>
      <c r="C27" s="13">
        <v>397.72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397.72</v>
      </c>
    </row>
    <row r="28" spans="1:10" x14ac:dyDescent="0.45">
      <c r="A28" s="12" t="s">
        <v>120</v>
      </c>
      <c r="B28" s="12" t="s">
        <v>121</v>
      </c>
      <c r="C28" s="16">
        <v>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3.0000000000000001E-3</v>
      </c>
    </row>
    <row r="29" spans="1:10" x14ac:dyDescent="0.45">
      <c r="A29" s="12" t="s">
        <v>122</v>
      </c>
      <c r="B29" s="12" t="s">
        <v>33</v>
      </c>
      <c r="C29" s="13">
        <v>8.66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8.66</v>
      </c>
    </row>
    <row r="30" spans="1:10" x14ac:dyDescent="0.45">
      <c r="A30" s="12"/>
      <c r="B30" s="12" t="s">
        <v>35</v>
      </c>
      <c r="C30" s="13">
        <v>-8.66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-8.66</v>
      </c>
    </row>
    <row r="31" spans="1:10" x14ac:dyDescent="0.45">
      <c r="A31" s="12"/>
      <c r="B31" s="12" t="s">
        <v>36</v>
      </c>
      <c r="C31" s="13">
        <v>7.33</v>
      </c>
      <c r="D31" s="12" t="s">
        <v>34</v>
      </c>
      <c r="E31" s="12" t="s">
        <v>195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7.33</v>
      </c>
    </row>
    <row r="32" spans="1:10" x14ac:dyDescent="0.45">
      <c r="A32" s="12"/>
      <c r="B32" s="12" t="s">
        <v>37</v>
      </c>
      <c r="C32" s="13">
        <v>-4.74</v>
      </c>
      <c r="D32" s="12" t="s">
        <v>34</v>
      </c>
      <c r="E32" s="12" t="s">
        <v>196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-4.74</v>
      </c>
    </row>
    <row r="33" spans="1:10" x14ac:dyDescent="0.45">
      <c r="A33" s="12" t="s">
        <v>123</v>
      </c>
      <c r="B33" s="12" t="s">
        <v>124</v>
      </c>
      <c r="C33" s="13">
        <v>23.82</v>
      </c>
      <c r="D33" s="12" t="s">
        <v>13</v>
      </c>
      <c r="E33" s="12" t="s">
        <v>189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23.82</v>
      </c>
    </row>
    <row r="34" spans="1:10" x14ac:dyDescent="0.45">
      <c r="A34" s="12"/>
      <c r="B34" s="12" t="s">
        <v>125</v>
      </c>
      <c r="C34" s="13">
        <v>-23.81</v>
      </c>
      <c r="D34" s="12" t="s">
        <v>13</v>
      </c>
      <c r="E34" s="12" t="s">
        <v>190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-23.81</v>
      </c>
    </row>
    <row r="35" spans="1:10" x14ac:dyDescent="0.45">
      <c r="A35" s="12" t="s">
        <v>126</v>
      </c>
      <c r="B35" s="12" t="s">
        <v>38</v>
      </c>
      <c r="C35" s="13">
        <v>0.16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0.16</v>
      </c>
    </row>
    <row r="36" spans="1:10" x14ac:dyDescent="0.45">
      <c r="A36" s="12" t="s">
        <v>127</v>
      </c>
      <c r="B36" s="12" t="s">
        <v>139</v>
      </c>
      <c r="C36" s="13">
        <v>-0.73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-0.73</v>
      </c>
    </row>
    <row r="37" spans="1:10" x14ac:dyDescent="0.45">
      <c r="A37" s="12"/>
      <c r="B37" s="12" t="s">
        <v>140</v>
      </c>
      <c r="C37" s="13">
        <v>-11.47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-11.47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4.0960000000000001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4.0960000000000001</v>
      </c>
    </row>
    <row r="40" spans="1:10" x14ac:dyDescent="0.45">
      <c r="A40" s="12"/>
      <c r="B40" s="12" t="s">
        <v>43</v>
      </c>
      <c r="C40" s="16">
        <v>2.6469999999999998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2.6469999999999998</v>
      </c>
    </row>
    <row r="41" spans="1:10" x14ac:dyDescent="0.45">
      <c r="A41" s="12" t="s">
        <v>130</v>
      </c>
      <c r="B41" s="12" t="s">
        <v>44</v>
      </c>
      <c r="C41" s="13">
        <v>11.54</v>
      </c>
      <c r="D41" s="12" t="s">
        <v>34</v>
      </c>
      <c r="E41" s="12" t="s">
        <v>163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11.54</v>
      </c>
    </row>
    <row r="42" spans="1:10" x14ac:dyDescent="0.45">
      <c r="A42" s="12"/>
      <c r="B42" s="12" t="s">
        <v>45</v>
      </c>
      <c r="C42" s="13">
        <v>7.46</v>
      </c>
      <c r="D42" s="12" t="s">
        <v>34</v>
      </c>
      <c r="E42" s="12" t="s">
        <v>191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7.46</v>
      </c>
    </row>
    <row r="43" spans="1:10" x14ac:dyDescent="0.45">
      <c r="A43" s="12" t="s">
        <v>131</v>
      </c>
      <c r="B43" s="12" t="s">
        <v>46</v>
      </c>
      <c r="C43" s="13">
        <v>2.31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2.31</v>
      </c>
    </row>
    <row r="44" spans="1:10" x14ac:dyDescent="0.45">
      <c r="A44" s="12"/>
      <c r="B44" s="12" t="s">
        <v>47</v>
      </c>
      <c r="C44" s="13">
        <v>2.5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2.5</v>
      </c>
    </row>
    <row r="45" spans="1:10" x14ac:dyDescent="0.45">
      <c r="A45" s="12" t="s">
        <v>132</v>
      </c>
      <c r="B45" s="12" t="s">
        <v>48</v>
      </c>
      <c r="C45" s="13">
        <v>0.05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0.05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47.28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47.28</v>
      </c>
    </row>
    <row r="48" spans="1:10" x14ac:dyDescent="0.45">
      <c r="A48" s="12"/>
      <c r="B48" s="12" t="s">
        <v>52</v>
      </c>
      <c r="C48" s="13">
        <v>51.17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51.17</v>
      </c>
    </row>
    <row r="49" spans="1:10" x14ac:dyDescent="0.45">
      <c r="A49" s="12" t="s">
        <v>134</v>
      </c>
      <c r="B49" s="12" t="s">
        <v>53</v>
      </c>
      <c r="C49" s="13">
        <v>144.41999999999999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144.41999999999999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93EFA45D-2F11-4826-B169-A54422C32857}">
      <formula1>"PA,MA"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3D07-E872-4A0F-8F4D-3BDFC1AEBDE7}">
  <sheetPr codeName="Sheet9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5.34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5.34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5.34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5.34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UP0014-eff</v>
      </c>
      <c r="P3" s="4" t="str">
        <f ca="1">IF(LEFT(O3,11)="SHAPE-THIN ",MID(O3,12,50)&amp;"-"&amp;O2,O3&amp;"-"&amp;O2)</f>
        <v>UP0014-eff-MA</v>
      </c>
    </row>
    <row r="4" spans="1:16" x14ac:dyDescent="0.45">
      <c r="A4" s="12" t="s">
        <v>97</v>
      </c>
      <c r="B4" s="12" t="s">
        <v>7</v>
      </c>
      <c r="C4" s="13">
        <v>1.46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1.46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5.34</v>
      </c>
    </row>
    <row r="5" spans="1:16" x14ac:dyDescent="0.45">
      <c r="A5" s="12"/>
      <c r="B5" s="12" t="s">
        <v>8</v>
      </c>
      <c r="C5" s="13">
        <v>0.62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0.62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52.73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23.04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3.14</v>
      </c>
    </row>
    <row r="8" spans="1:16" x14ac:dyDescent="0.45">
      <c r="A8" s="12" t="s">
        <v>100</v>
      </c>
      <c r="B8" s="12" t="s">
        <v>12</v>
      </c>
      <c r="C8" s="13">
        <v>52.73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52.73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2.08</v>
      </c>
    </row>
    <row r="9" spans="1:16" x14ac:dyDescent="0.45">
      <c r="A9" s="12"/>
      <c r="B9" s="12" t="s">
        <v>14</v>
      </c>
      <c r="C9" s="13">
        <v>23.04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23.04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11.72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5.91</v>
      </c>
    </row>
    <row r="11" spans="1:16" x14ac:dyDescent="0.45">
      <c r="A11" s="12" t="s">
        <v>104</v>
      </c>
      <c r="B11" s="12" t="s">
        <v>17</v>
      </c>
      <c r="C11" s="13">
        <v>75.77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75.77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7.0000000000000007E-2</v>
      </c>
    </row>
    <row r="12" spans="1:16" x14ac:dyDescent="0.45">
      <c r="A12" s="12"/>
      <c r="B12" s="12" t="s">
        <v>18</v>
      </c>
      <c r="C12" s="13">
        <v>216.34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216.34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5.13</v>
      </c>
    </row>
    <row r="13" spans="1:16" x14ac:dyDescent="0.45">
      <c r="A13" s="12" t="s">
        <v>105</v>
      </c>
      <c r="B13" s="12" t="s">
        <v>20</v>
      </c>
      <c r="C13" s="13">
        <v>3.14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3.14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503.91</v>
      </c>
    </row>
    <row r="14" spans="1:16" x14ac:dyDescent="0.45">
      <c r="A14" s="12"/>
      <c r="B14" s="12" t="s">
        <v>21</v>
      </c>
      <c r="C14" s="13">
        <v>2.08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3.77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3.77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6.37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6.37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1.53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1.53</v>
      </c>
    </row>
    <row r="18" spans="1:10" x14ac:dyDescent="0.45">
      <c r="A18" s="12" t="s">
        <v>111</v>
      </c>
      <c r="B18" s="12" t="s">
        <v>23</v>
      </c>
      <c r="C18" s="15">
        <v>4.2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4.2</v>
      </c>
    </row>
    <row r="19" spans="1:10" x14ac:dyDescent="0.45">
      <c r="A19" s="12" t="s">
        <v>112</v>
      </c>
      <c r="B19" s="12" t="s">
        <v>25</v>
      </c>
      <c r="C19" s="13">
        <v>51.69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51.69</v>
      </c>
    </row>
    <row r="20" spans="1:10" x14ac:dyDescent="0.45">
      <c r="A20" s="12" t="s">
        <v>113</v>
      </c>
      <c r="B20" s="12" t="s">
        <v>26</v>
      </c>
      <c r="C20" s="13">
        <v>7.0000000000000007E-2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7.0000000000000007E-2</v>
      </c>
    </row>
    <row r="21" spans="1:10" x14ac:dyDescent="0.45">
      <c r="A21" s="12" t="s">
        <v>115</v>
      </c>
      <c r="B21" s="12" t="s">
        <v>27</v>
      </c>
      <c r="C21" s="13">
        <v>30.22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30.22</v>
      </c>
    </row>
    <row r="22" spans="1:10" x14ac:dyDescent="0.45">
      <c r="A22" s="12" t="s">
        <v>116</v>
      </c>
      <c r="B22" s="12" t="s">
        <v>28</v>
      </c>
      <c r="C22" s="13">
        <v>5.13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5.13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5.13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5.13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1892.79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1892.79</v>
      </c>
    </row>
    <row r="27" spans="1:10" x14ac:dyDescent="0.45">
      <c r="A27" s="12"/>
      <c r="B27" s="12" t="s">
        <v>119</v>
      </c>
      <c r="C27" s="13">
        <v>503.91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503.91</v>
      </c>
    </row>
    <row r="28" spans="1:10" x14ac:dyDescent="0.45">
      <c r="A28" s="12" t="s">
        <v>120</v>
      </c>
      <c r="B28" s="12" t="s">
        <v>121</v>
      </c>
      <c r="C28" s="16">
        <v>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1E-3</v>
      </c>
    </row>
    <row r="29" spans="1:10" x14ac:dyDescent="0.45">
      <c r="A29" s="12" t="s">
        <v>122</v>
      </c>
      <c r="B29" s="12" t="s">
        <v>33</v>
      </c>
      <c r="C29" s="13">
        <v>11.72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11.72</v>
      </c>
    </row>
    <row r="30" spans="1:10" x14ac:dyDescent="0.45">
      <c r="A30" s="12"/>
      <c r="B30" s="12" t="s">
        <v>35</v>
      </c>
      <c r="C30" s="13">
        <v>-11.72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-11.72</v>
      </c>
    </row>
    <row r="31" spans="1:10" x14ac:dyDescent="0.45">
      <c r="A31" s="12"/>
      <c r="B31" s="12" t="s">
        <v>36</v>
      </c>
      <c r="C31" s="13">
        <v>9.39</v>
      </c>
      <c r="D31" s="12" t="s">
        <v>34</v>
      </c>
      <c r="E31" s="12" t="s">
        <v>152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9.39</v>
      </c>
    </row>
    <row r="32" spans="1:10" x14ac:dyDescent="0.45">
      <c r="A32" s="12"/>
      <c r="B32" s="12" t="s">
        <v>37</v>
      </c>
      <c r="C32" s="13">
        <v>-5.91</v>
      </c>
      <c r="D32" s="12" t="s">
        <v>34</v>
      </c>
      <c r="E32" s="12" t="s">
        <v>197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-5.91</v>
      </c>
    </row>
    <row r="33" spans="1:10" x14ac:dyDescent="0.45">
      <c r="A33" s="12" t="s">
        <v>123</v>
      </c>
      <c r="B33" s="12" t="s">
        <v>124</v>
      </c>
      <c r="C33" s="13">
        <v>29.84</v>
      </c>
      <c r="D33" s="12" t="s">
        <v>13</v>
      </c>
      <c r="E33" s="12" t="s">
        <v>194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29.84</v>
      </c>
    </row>
    <row r="34" spans="1:10" x14ac:dyDescent="0.45">
      <c r="A34" s="12"/>
      <c r="B34" s="12" t="s">
        <v>125</v>
      </c>
      <c r="C34" s="13">
        <v>-29.83</v>
      </c>
      <c r="D34" s="12" t="s">
        <v>13</v>
      </c>
      <c r="E34" s="12" t="s">
        <v>198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-29.83</v>
      </c>
    </row>
    <row r="35" spans="1:10" x14ac:dyDescent="0.45">
      <c r="A35" s="12" t="s">
        <v>126</v>
      </c>
      <c r="B35" s="12" t="s">
        <v>38</v>
      </c>
      <c r="C35" s="13">
        <v>0.28000000000000003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0.28000000000000003</v>
      </c>
    </row>
    <row r="36" spans="1:10" x14ac:dyDescent="0.45">
      <c r="A36" s="12" t="s">
        <v>127</v>
      </c>
      <c r="B36" s="12" t="s">
        <v>139</v>
      </c>
      <c r="C36" s="13">
        <v>-0.74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-0.74</v>
      </c>
    </row>
    <row r="37" spans="1:10" x14ac:dyDescent="0.45">
      <c r="A37" s="12"/>
      <c r="B37" s="12" t="s">
        <v>140</v>
      </c>
      <c r="C37" s="13">
        <v>-11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5.468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5.468</v>
      </c>
    </row>
    <row r="40" spans="1:10" x14ac:dyDescent="0.45">
      <c r="A40" s="12"/>
      <c r="B40" s="12" t="s">
        <v>43</v>
      </c>
      <c r="C40" s="16">
        <v>3.39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3.39</v>
      </c>
    </row>
    <row r="41" spans="1:10" x14ac:dyDescent="0.45">
      <c r="A41" s="12" t="s">
        <v>130</v>
      </c>
      <c r="B41" s="12" t="s">
        <v>44</v>
      </c>
      <c r="C41" s="13">
        <v>15.4</v>
      </c>
      <c r="D41" s="12" t="s">
        <v>34</v>
      </c>
      <c r="E41" s="12" t="s">
        <v>155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15.4</v>
      </c>
    </row>
    <row r="42" spans="1:10" x14ac:dyDescent="0.45">
      <c r="A42" s="12"/>
      <c r="B42" s="12" t="s">
        <v>45</v>
      </c>
      <c r="C42" s="13">
        <v>9.5500000000000007</v>
      </c>
      <c r="D42" s="12" t="s">
        <v>34</v>
      </c>
      <c r="E42" s="12" t="s">
        <v>160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9.5500000000000007</v>
      </c>
    </row>
    <row r="43" spans="1:10" x14ac:dyDescent="0.45">
      <c r="A43" s="12" t="s">
        <v>131</v>
      </c>
      <c r="B43" s="12" t="s">
        <v>46</v>
      </c>
      <c r="C43" s="13">
        <v>3.13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3.13</v>
      </c>
    </row>
    <row r="44" spans="1:10" x14ac:dyDescent="0.45">
      <c r="A44" s="12"/>
      <c r="B44" s="12" t="s">
        <v>47</v>
      </c>
      <c r="C44" s="13">
        <v>3.12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3.12</v>
      </c>
    </row>
    <row r="45" spans="1:10" x14ac:dyDescent="0.45">
      <c r="A45" s="12" t="s">
        <v>132</v>
      </c>
      <c r="B45" s="12" t="s">
        <v>48</v>
      </c>
      <c r="C45" s="13">
        <v>0.23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0.23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64.239999999999995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64.239999999999995</v>
      </c>
    </row>
    <row r="48" spans="1:10" x14ac:dyDescent="0.45">
      <c r="A48" s="12"/>
      <c r="B48" s="12" t="s">
        <v>52</v>
      </c>
      <c r="C48" s="13">
        <v>63.97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63.97</v>
      </c>
    </row>
    <row r="49" spans="1:10" x14ac:dyDescent="0.45">
      <c r="A49" s="12" t="s">
        <v>134</v>
      </c>
      <c r="B49" s="12" t="s">
        <v>53</v>
      </c>
      <c r="C49" s="13">
        <v>189.43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189.43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F9DF6FC7-78F1-40FA-AAE4-3603BCDE5997}">
      <formula1>"PA,MA"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9675-9246-4B4B-AD68-D5F4AA692445}">
  <sheetPr codeName="Sheet10">
    <tabColor theme="9"/>
  </sheetPr>
  <dimension ref="A1:P250"/>
  <sheetViews>
    <sheetView workbookViewId="0">
      <selection activeCell="G27" sqref="G27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5.09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5.09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5.09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5.09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UP0015-eff</v>
      </c>
      <c r="P3" s="4" t="str">
        <f ca="1">IF(LEFT(O3,11)="SHAPE-THIN ",MID(O3,12,50)&amp;"-"&amp;O2,O3&amp;"-"&amp;O2)</f>
        <v>UP0015-eff-MA</v>
      </c>
    </row>
    <row r="4" spans="1:16" x14ac:dyDescent="0.45">
      <c r="A4" s="12" t="s">
        <v>97</v>
      </c>
      <c r="B4" s="12" t="s">
        <v>7</v>
      </c>
      <c r="C4" s="13">
        <v>1.27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1.27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5.09</v>
      </c>
    </row>
    <row r="5" spans="1:16" x14ac:dyDescent="0.45">
      <c r="A5" s="12"/>
      <c r="B5" s="12" t="s">
        <v>8</v>
      </c>
      <c r="C5" s="13">
        <v>0.56000000000000005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0.56000000000000005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47.93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22.72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3.07</v>
      </c>
    </row>
    <row r="8" spans="1:16" x14ac:dyDescent="0.45">
      <c r="A8" s="12" t="s">
        <v>100</v>
      </c>
      <c r="B8" s="12" t="s">
        <v>12</v>
      </c>
      <c r="C8" s="13">
        <v>47.93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47.93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2.11</v>
      </c>
    </row>
    <row r="9" spans="1:16" x14ac:dyDescent="0.45">
      <c r="A9" s="12"/>
      <c r="B9" s="12" t="s">
        <v>14</v>
      </c>
      <c r="C9" s="13">
        <v>22.72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22.72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10.65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5.91</v>
      </c>
    </row>
    <row r="11" spans="1:16" x14ac:dyDescent="0.45">
      <c r="A11" s="12" t="s">
        <v>104</v>
      </c>
      <c r="B11" s="12" t="s">
        <v>17</v>
      </c>
      <c r="C11" s="13">
        <v>70.650000000000006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70.650000000000006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0.06</v>
      </c>
    </row>
    <row r="12" spans="1:16" x14ac:dyDescent="0.45">
      <c r="A12" s="12"/>
      <c r="B12" s="12" t="s">
        <v>18</v>
      </c>
      <c r="C12" s="13">
        <v>217.21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217.21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5.37</v>
      </c>
    </row>
    <row r="13" spans="1:16" x14ac:dyDescent="0.45">
      <c r="A13" s="12" t="s">
        <v>105</v>
      </c>
      <c r="B13" s="12" t="s">
        <v>20</v>
      </c>
      <c r="C13" s="13">
        <v>3.07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3.07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486.08</v>
      </c>
    </row>
    <row r="14" spans="1:16" x14ac:dyDescent="0.45">
      <c r="A14" s="12"/>
      <c r="B14" s="12" t="s">
        <v>21</v>
      </c>
      <c r="C14" s="13">
        <v>2.11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2.11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3.73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3.73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6.53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6.53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1.5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1.5</v>
      </c>
    </row>
    <row r="18" spans="1:10" x14ac:dyDescent="0.45">
      <c r="A18" s="12" t="s">
        <v>111</v>
      </c>
      <c r="B18" s="12" t="s">
        <v>23</v>
      </c>
      <c r="C18" s="15">
        <v>4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4</v>
      </c>
    </row>
    <row r="19" spans="1:10" x14ac:dyDescent="0.45">
      <c r="A19" s="12" t="s">
        <v>112</v>
      </c>
      <c r="B19" s="12" t="s">
        <v>25</v>
      </c>
      <c r="C19" s="13">
        <v>52.28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52.28</v>
      </c>
    </row>
    <row r="20" spans="1:10" x14ac:dyDescent="0.45">
      <c r="A20" s="12" t="s">
        <v>113</v>
      </c>
      <c r="B20" s="12" t="s">
        <v>26</v>
      </c>
      <c r="C20" s="13">
        <v>0.06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0.06</v>
      </c>
    </row>
    <row r="21" spans="1:10" x14ac:dyDescent="0.45">
      <c r="A21" s="12" t="s">
        <v>115</v>
      </c>
      <c r="B21" s="12" t="s">
        <v>27</v>
      </c>
      <c r="C21" s="13">
        <v>26.52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26.52</v>
      </c>
    </row>
    <row r="22" spans="1:10" x14ac:dyDescent="0.45">
      <c r="A22" s="12" t="s">
        <v>116</v>
      </c>
      <c r="B22" s="12" t="s">
        <v>28</v>
      </c>
      <c r="C22" s="13">
        <v>5.37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5.37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5.37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5.37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1867.12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1867.12</v>
      </c>
    </row>
    <row r="27" spans="1:10" x14ac:dyDescent="0.45">
      <c r="A27" s="12"/>
      <c r="B27" s="12" t="s">
        <v>119</v>
      </c>
      <c r="C27" s="13">
        <v>486.08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486.08</v>
      </c>
    </row>
    <row r="28" spans="1:10" x14ac:dyDescent="0.45">
      <c r="A28" s="12" t="s">
        <v>120</v>
      </c>
      <c r="B28" s="12" t="s">
        <v>121</v>
      </c>
      <c r="C28" s="16">
        <v>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1E-3</v>
      </c>
    </row>
    <row r="29" spans="1:10" x14ac:dyDescent="0.45">
      <c r="A29" s="12" t="s">
        <v>122</v>
      </c>
      <c r="B29" s="12" t="s">
        <v>33</v>
      </c>
      <c r="C29" s="13">
        <v>10.65</v>
      </c>
      <c r="D29" s="12" t="s">
        <v>34</v>
      </c>
      <c r="E29" s="12" t="s">
        <v>164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10.65</v>
      </c>
    </row>
    <row r="30" spans="1:10" x14ac:dyDescent="0.45">
      <c r="A30" s="12"/>
      <c r="B30" s="12" t="s">
        <v>35</v>
      </c>
      <c r="C30" s="13">
        <v>-10.65</v>
      </c>
      <c r="D30" s="12" t="s">
        <v>34</v>
      </c>
      <c r="E30" s="12" t="s">
        <v>165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-10.65</v>
      </c>
    </row>
    <row r="31" spans="1:10" x14ac:dyDescent="0.45">
      <c r="A31" s="12"/>
      <c r="B31" s="12" t="s">
        <v>36</v>
      </c>
      <c r="C31" s="13">
        <v>9.06</v>
      </c>
      <c r="D31" s="12" t="s">
        <v>34</v>
      </c>
      <c r="E31" s="12" t="s">
        <v>199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9.06</v>
      </c>
    </row>
    <row r="32" spans="1:10" x14ac:dyDescent="0.45">
      <c r="A32" s="12"/>
      <c r="B32" s="12" t="s">
        <v>37</v>
      </c>
      <c r="C32" s="13">
        <v>-5.91</v>
      </c>
      <c r="D32" s="12" t="s">
        <v>34</v>
      </c>
      <c r="E32" s="12" t="s">
        <v>158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-5.91</v>
      </c>
    </row>
    <row r="33" spans="1:10" x14ac:dyDescent="0.45">
      <c r="A33" s="12" t="s">
        <v>123</v>
      </c>
      <c r="B33" s="12" t="s">
        <v>124</v>
      </c>
      <c r="C33" s="13">
        <v>29.56</v>
      </c>
      <c r="D33" s="12" t="s">
        <v>13</v>
      </c>
      <c r="E33" s="12" t="s">
        <v>190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29.56</v>
      </c>
    </row>
    <row r="34" spans="1:10" x14ac:dyDescent="0.45">
      <c r="A34" s="12"/>
      <c r="B34" s="12" t="s">
        <v>125</v>
      </c>
      <c r="C34" s="13">
        <v>-29.55</v>
      </c>
      <c r="D34" s="12" t="s">
        <v>13</v>
      </c>
      <c r="E34" s="12" t="s">
        <v>200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-29.55</v>
      </c>
    </row>
    <row r="35" spans="1:10" x14ac:dyDescent="0.45">
      <c r="A35" s="12" t="s">
        <v>126</v>
      </c>
      <c r="B35" s="12" t="s">
        <v>38</v>
      </c>
      <c r="C35" s="13">
        <v>0.24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0.24</v>
      </c>
    </row>
    <row r="36" spans="1:10" x14ac:dyDescent="0.45">
      <c r="A36" s="12" t="s">
        <v>127</v>
      </c>
      <c r="B36" s="12" t="s">
        <v>139</v>
      </c>
      <c r="C36" s="13">
        <v>-0.72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-0.72</v>
      </c>
    </row>
    <row r="37" spans="1:10" x14ac:dyDescent="0.45">
      <c r="A37" s="12"/>
      <c r="B37" s="12" t="s">
        <v>140</v>
      </c>
      <c r="C37" s="13">
        <v>-11.45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-11.45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5.0780000000000003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5.0780000000000003</v>
      </c>
    </row>
    <row r="40" spans="1:10" x14ac:dyDescent="0.45">
      <c r="A40" s="12"/>
      <c r="B40" s="12" t="s">
        <v>43</v>
      </c>
      <c r="C40" s="16">
        <v>3.3039999999999998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3.3039999999999998</v>
      </c>
    </row>
    <row r="41" spans="1:10" x14ac:dyDescent="0.45">
      <c r="A41" s="12" t="s">
        <v>130</v>
      </c>
      <c r="B41" s="12" t="s">
        <v>44</v>
      </c>
      <c r="C41" s="13">
        <v>14.3</v>
      </c>
      <c r="D41" s="12" t="s">
        <v>34</v>
      </c>
      <c r="E41" s="12" t="s">
        <v>201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14.3</v>
      </c>
    </row>
    <row r="42" spans="1:10" x14ac:dyDescent="0.45">
      <c r="A42" s="12"/>
      <c r="B42" s="12" t="s">
        <v>45</v>
      </c>
      <c r="C42" s="13">
        <v>9.31</v>
      </c>
      <c r="D42" s="12" t="s">
        <v>34</v>
      </c>
      <c r="E42" s="12" t="s">
        <v>191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9.31</v>
      </c>
    </row>
    <row r="43" spans="1:10" x14ac:dyDescent="0.45">
      <c r="A43" s="12" t="s">
        <v>131</v>
      </c>
      <c r="B43" s="12" t="s">
        <v>46</v>
      </c>
      <c r="C43" s="13">
        <v>2.88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2.88</v>
      </c>
    </row>
    <row r="44" spans="1:10" x14ac:dyDescent="0.45">
      <c r="A44" s="12"/>
      <c r="B44" s="12" t="s">
        <v>47</v>
      </c>
      <c r="C44" s="13">
        <v>3.12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3.12</v>
      </c>
    </row>
    <row r="45" spans="1:10" x14ac:dyDescent="0.45">
      <c r="A45" s="12" t="s">
        <v>132</v>
      </c>
      <c r="B45" s="12" t="s">
        <v>48</v>
      </c>
      <c r="C45" s="13">
        <v>0.06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0.06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59.11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59.11</v>
      </c>
    </row>
    <row r="48" spans="1:10" x14ac:dyDescent="0.45">
      <c r="A48" s="12"/>
      <c r="B48" s="12" t="s">
        <v>52</v>
      </c>
      <c r="C48" s="13">
        <v>63.97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63.97</v>
      </c>
    </row>
    <row r="49" spans="1:10" x14ac:dyDescent="0.45">
      <c r="A49" s="12" t="s">
        <v>134</v>
      </c>
      <c r="B49" s="12" t="s">
        <v>53</v>
      </c>
      <c r="C49" s="13">
        <v>180.52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180.52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9616879D-5545-4AAC-BDEE-09BDB744A89A}">
      <formula1>"PA,MA"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C2CD-4391-488C-958A-84724744EB14}">
  <sheetPr codeName="Sheet11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3.9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3.9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3.9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3.9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UP0016-eff</v>
      </c>
      <c r="P3" s="4" t="str">
        <f ca="1">IF(LEFT(O3,11)="SHAPE-THIN ",MID(O3,12,50)&amp;"-"&amp;O2,O3&amp;"-"&amp;O2)</f>
        <v>UP0016-eff-MA</v>
      </c>
    </row>
    <row r="4" spans="1:16" x14ac:dyDescent="0.45">
      <c r="A4" s="12" t="s">
        <v>97</v>
      </c>
      <c r="B4" s="12" t="s">
        <v>7</v>
      </c>
      <c r="C4" s="13">
        <v>0.79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0.79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3.9</v>
      </c>
    </row>
    <row r="5" spans="1:16" x14ac:dyDescent="0.45">
      <c r="A5" s="12"/>
      <c r="B5" s="12" t="s">
        <v>8</v>
      </c>
      <c r="C5" s="13">
        <v>0.73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0.73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73.37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15.8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4.34</v>
      </c>
    </row>
    <row r="8" spans="1:16" x14ac:dyDescent="0.45">
      <c r="A8" s="12" t="s">
        <v>100</v>
      </c>
      <c r="B8" s="12" t="s">
        <v>12</v>
      </c>
      <c r="C8" s="13">
        <v>73.37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73.37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2.0099999999999998</v>
      </c>
    </row>
    <row r="9" spans="1:16" x14ac:dyDescent="0.45">
      <c r="A9" s="12"/>
      <c r="B9" s="12" t="s">
        <v>14</v>
      </c>
      <c r="C9" s="13">
        <v>15.8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15.8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12.19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3.89</v>
      </c>
    </row>
    <row r="11" spans="1:16" x14ac:dyDescent="0.45">
      <c r="A11" s="12" t="s">
        <v>104</v>
      </c>
      <c r="B11" s="12" t="s">
        <v>17</v>
      </c>
      <c r="C11" s="13">
        <v>89.17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89.17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165.38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165.38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4.42</v>
      </c>
    </row>
    <row r="13" spans="1:16" x14ac:dyDescent="0.45">
      <c r="A13" s="12" t="s">
        <v>105</v>
      </c>
      <c r="B13" s="12" t="s">
        <v>20</v>
      </c>
      <c r="C13" s="13">
        <v>4.34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4.34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552.55999999999995</v>
      </c>
    </row>
    <row r="14" spans="1:16" x14ac:dyDescent="0.45">
      <c r="A14" s="12"/>
      <c r="B14" s="12" t="s">
        <v>21</v>
      </c>
      <c r="C14" s="13">
        <v>2.0099999999999998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2.0099999999999998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4.78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4.78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1.83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1.83</v>
      </c>
    </row>
    <row r="18" spans="1:10" x14ac:dyDescent="0.45">
      <c r="A18" s="12" t="s">
        <v>111</v>
      </c>
      <c r="B18" s="12" t="s">
        <v>23</v>
      </c>
      <c r="C18" s="15">
        <v>3.1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3.1</v>
      </c>
    </row>
    <row r="19" spans="1:10" x14ac:dyDescent="0.45">
      <c r="A19" s="12" t="s">
        <v>112</v>
      </c>
      <c r="B19" s="12" t="s">
        <v>25</v>
      </c>
      <c r="C19" s="13">
        <v>57.11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57.11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36.03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36.03</v>
      </c>
    </row>
    <row r="22" spans="1:10" x14ac:dyDescent="0.45">
      <c r="A22" s="12" t="s">
        <v>116</v>
      </c>
      <c r="B22" s="12" t="s">
        <v>28</v>
      </c>
      <c r="C22" s="13">
        <v>4.42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4.42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4.42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4.42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1985.39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1985.39</v>
      </c>
    </row>
    <row r="27" spans="1:10" x14ac:dyDescent="0.45">
      <c r="A27" s="12"/>
      <c r="B27" s="12" t="s">
        <v>119</v>
      </c>
      <c r="C27" s="13">
        <v>552.55999999999995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552.55999999999995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12.19</v>
      </c>
      <c r="D29" s="12" t="s">
        <v>34</v>
      </c>
      <c r="E29" s="12" t="s">
        <v>203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12.19</v>
      </c>
    </row>
    <row r="30" spans="1:10" x14ac:dyDescent="0.45">
      <c r="A30" s="12"/>
      <c r="B30" s="12" t="s">
        <v>35</v>
      </c>
      <c r="C30" s="13">
        <v>-12.19</v>
      </c>
      <c r="D30" s="12" t="s">
        <v>34</v>
      </c>
      <c r="E30" s="12" t="s">
        <v>202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-12.19</v>
      </c>
    </row>
    <row r="31" spans="1:10" x14ac:dyDescent="0.45">
      <c r="A31" s="12"/>
      <c r="B31" s="12" t="s">
        <v>36</v>
      </c>
      <c r="C31" s="13">
        <v>7.19</v>
      </c>
      <c r="D31" s="12" t="s">
        <v>34</v>
      </c>
      <c r="E31" s="12" t="s">
        <v>220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7.19</v>
      </c>
    </row>
    <row r="32" spans="1:10" x14ac:dyDescent="0.45">
      <c r="A32" s="12"/>
      <c r="B32" s="12" t="s">
        <v>37</v>
      </c>
      <c r="C32" s="13">
        <v>-3.89</v>
      </c>
      <c r="D32" s="12" t="s">
        <v>34</v>
      </c>
      <c r="E32" s="12" t="s">
        <v>221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-3.89</v>
      </c>
    </row>
    <row r="33" spans="1:10" x14ac:dyDescent="0.45">
      <c r="A33" s="12" t="s">
        <v>123</v>
      </c>
      <c r="B33" s="12" t="s">
        <v>124</v>
      </c>
      <c r="C33" s="13">
        <v>25.52</v>
      </c>
      <c r="D33" s="12" t="s">
        <v>13</v>
      </c>
      <c r="E33" s="12" t="s">
        <v>186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25.52</v>
      </c>
    </row>
    <row r="34" spans="1:10" x14ac:dyDescent="0.45">
      <c r="A34" s="12"/>
      <c r="B34" s="12" t="s">
        <v>125</v>
      </c>
      <c r="C34" s="13">
        <v>-25.5</v>
      </c>
      <c r="D34" s="12" t="s">
        <v>13</v>
      </c>
      <c r="E34" s="12" t="s">
        <v>187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-25.5</v>
      </c>
    </row>
    <row r="35" spans="1:10" x14ac:dyDescent="0.45">
      <c r="A35" s="12" t="s">
        <v>126</v>
      </c>
      <c r="B35" s="12" t="s">
        <v>38</v>
      </c>
      <c r="C35" s="13">
        <v>0.15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0.15</v>
      </c>
    </row>
    <row r="36" spans="1:10" x14ac:dyDescent="0.45">
      <c r="A36" s="12" t="s">
        <v>127</v>
      </c>
      <c r="B36" s="12" t="s">
        <v>139</v>
      </c>
      <c r="C36" s="13">
        <v>-2.19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-2.19</v>
      </c>
    </row>
    <row r="37" spans="1:10" x14ac:dyDescent="0.45">
      <c r="A37" s="12"/>
      <c r="B37" s="12" t="s">
        <v>140</v>
      </c>
      <c r="C37" s="13">
        <v>-11.03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-11.03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5.5229999999999997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5.5229999999999997</v>
      </c>
    </row>
    <row r="40" spans="1:10" x14ac:dyDescent="0.45">
      <c r="A40" s="12"/>
      <c r="B40" s="12" t="s">
        <v>43</v>
      </c>
      <c r="C40" s="16">
        <v>2.343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2.343</v>
      </c>
    </row>
    <row r="41" spans="1:10" x14ac:dyDescent="0.45">
      <c r="A41" s="12" t="s">
        <v>130</v>
      </c>
      <c r="B41" s="12" t="s">
        <v>44</v>
      </c>
      <c r="C41" s="13">
        <v>15.56</v>
      </c>
      <c r="D41" s="12" t="s">
        <v>34</v>
      </c>
      <c r="E41" s="12" t="s">
        <v>159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15.56</v>
      </c>
    </row>
    <row r="42" spans="1:10" x14ac:dyDescent="0.45">
      <c r="A42" s="12"/>
      <c r="B42" s="12" t="s">
        <v>45</v>
      </c>
      <c r="C42" s="13">
        <v>6.6</v>
      </c>
      <c r="D42" s="12" t="s">
        <v>34</v>
      </c>
      <c r="E42" s="12" t="s">
        <v>210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6.6</v>
      </c>
    </row>
    <row r="43" spans="1:10" x14ac:dyDescent="0.45">
      <c r="A43" s="12" t="s">
        <v>131</v>
      </c>
      <c r="B43" s="12" t="s">
        <v>46</v>
      </c>
      <c r="C43" s="13">
        <v>2.0099999999999998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2.0099999999999998</v>
      </c>
    </row>
    <row r="44" spans="1:10" x14ac:dyDescent="0.45">
      <c r="A44" s="12"/>
      <c r="B44" s="12" t="s">
        <v>47</v>
      </c>
      <c r="C44" s="13">
        <v>2.48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2.48</v>
      </c>
    </row>
    <row r="45" spans="1:10" x14ac:dyDescent="0.45">
      <c r="A45" s="12" t="s">
        <v>132</v>
      </c>
      <c r="B45" s="12" t="s">
        <v>48</v>
      </c>
      <c r="C45" s="13">
        <v>0.8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0.8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41.12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41.12</v>
      </c>
    </row>
    <row r="48" spans="1:10" x14ac:dyDescent="0.45">
      <c r="A48" s="12"/>
      <c r="B48" s="12" t="s">
        <v>52</v>
      </c>
      <c r="C48" s="13">
        <v>50.91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50.91</v>
      </c>
    </row>
    <row r="49" spans="1:10" x14ac:dyDescent="0.45">
      <c r="A49" s="12" t="s">
        <v>134</v>
      </c>
      <c r="B49" s="12" t="s">
        <v>53</v>
      </c>
      <c r="C49" s="13">
        <v>138.49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138.49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025DD5E3-372B-465B-ADAF-CE8F31D05ECF}">
      <formula1>"PA,MA"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0BD1-3EF5-484D-9495-9BED834D686E}">
  <sheetPr codeName="Sheet12">
    <tabColor theme="9"/>
  </sheetPr>
  <dimension ref="A1:P250"/>
  <sheetViews>
    <sheetView workbookViewId="0">
      <selection activeCell="G14" sqref="G14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3.74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3.74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3.74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3.74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UP0017-eff</v>
      </c>
      <c r="P3" s="4" t="str">
        <f ca="1">IF(LEFT(O3,11)="SHAPE-THIN ",MID(O3,12,50)&amp;"-"&amp;O2,O3&amp;"-"&amp;O2)</f>
        <v>UP0017-eff-MA</v>
      </c>
    </row>
    <row r="4" spans="1:16" x14ac:dyDescent="0.45">
      <c r="A4" s="12" t="s">
        <v>97</v>
      </c>
      <c r="B4" s="12" t="s">
        <v>7</v>
      </c>
      <c r="C4" s="13">
        <v>0.68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0.68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3.74</v>
      </c>
    </row>
    <row r="5" spans="1:16" x14ac:dyDescent="0.45">
      <c r="A5" s="12"/>
      <c r="B5" s="12" t="s">
        <v>8</v>
      </c>
      <c r="C5" s="13">
        <v>0.68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0.68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67.709999999999994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15.68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4.25</v>
      </c>
    </row>
    <row r="8" spans="1:16" x14ac:dyDescent="0.45">
      <c r="A8" s="12" t="s">
        <v>100</v>
      </c>
      <c r="B8" s="12" t="s">
        <v>12</v>
      </c>
      <c r="C8" s="13">
        <v>67.709999999999994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67.709999999999994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2.0499999999999998</v>
      </c>
    </row>
    <row r="9" spans="1:16" x14ac:dyDescent="0.45">
      <c r="A9" s="12"/>
      <c r="B9" s="12" t="s">
        <v>14</v>
      </c>
      <c r="C9" s="13">
        <v>15.68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15.68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11.25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3.89</v>
      </c>
    </row>
    <row r="11" spans="1:16" x14ac:dyDescent="0.45">
      <c r="A11" s="12" t="s">
        <v>104</v>
      </c>
      <c r="B11" s="12" t="s">
        <v>17</v>
      </c>
      <c r="C11" s="13">
        <v>83.39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83.39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0.02</v>
      </c>
    </row>
    <row r="12" spans="1:16" x14ac:dyDescent="0.45">
      <c r="A12" s="12"/>
      <c r="B12" s="12" t="s">
        <v>18</v>
      </c>
      <c r="C12" s="13">
        <v>162.05000000000001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162.05000000000001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4.58</v>
      </c>
    </row>
    <row r="13" spans="1:16" x14ac:dyDescent="0.45">
      <c r="A13" s="12" t="s">
        <v>105</v>
      </c>
      <c r="B13" s="12" t="s">
        <v>20</v>
      </c>
      <c r="C13" s="13">
        <v>4.25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4.25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537.25</v>
      </c>
    </row>
    <row r="14" spans="1:16" x14ac:dyDescent="0.45">
      <c r="A14" s="12"/>
      <c r="B14" s="12" t="s">
        <v>21</v>
      </c>
      <c r="C14" s="13">
        <v>2.0499999999999998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2.0499999999999998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4.72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4.72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6.58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6.58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1.82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1.82</v>
      </c>
    </row>
    <row r="18" spans="1:10" x14ac:dyDescent="0.45">
      <c r="A18" s="12" t="s">
        <v>111</v>
      </c>
      <c r="B18" s="12" t="s">
        <v>23</v>
      </c>
      <c r="C18" s="15">
        <v>2.9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2.9</v>
      </c>
    </row>
    <row r="19" spans="1:10" x14ac:dyDescent="0.45">
      <c r="A19" s="12" t="s">
        <v>112</v>
      </c>
      <c r="B19" s="12" t="s">
        <v>25</v>
      </c>
      <c r="C19" s="13">
        <v>57.48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57.48</v>
      </c>
    </row>
    <row r="20" spans="1:10" x14ac:dyDescent="0.45">
      <c r="A20" s="12" t="s">
        <v>113</v>
      </c>
      <c r="B20" s="12" t="s">
        <v>26</v>
      </c>
      <c r="C20" s="13">
        <v>0.02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0.02</v>
      </c>
    </row>
    <row r="21" spans="1:10" x14ac:dyDescent="0.45">
      <c r="A21" s="12" t="s">
        <v>115</v>
      </c>
      <c r="B21" s="12" t="s">
        <v>27</v>
      </c>
      <c r="C21" s="13">
        <v>31.37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31.37</v>
      </c>
    </row>
    <row r="22" spans="1:10" x14ac:dyDescent="0.45">
      <c r="A22" s="12" t="s">
        <v>116</v>
      </c>
      <c r="B22" s="12" t="s">
        <v>28</v>
      </c>
      <c r="C22" s="13">
        <v>4.58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4.58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4.58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4.58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1960.6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1960.6</v>
      </c>
    </row>
    <row r="27" spans="1:10" x14ac:dyDescent="0.45">
      <c r="A27" s="12"/>
      <c r="B27" s="12" t="s">
        <v>119</v>
      </c>
      <c r="C27" s="13">
        <v>537.25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537.25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11.25</v>
      </c>
      <c r="D29" s="12" t="s">
        <v>34</v>
      </c>
      <c r="E29" s="12" t="s">
        <v>203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11.25</v>
      </c>
    </row>
    <row r="30" spans="1:10" x14ac:dyDescent="0.45">
      <c r="A30" s="12"/>
      <c r="B30" s="12" t="s">
        <v>35</v>
      </c>
      <c r="C30" s="13">
        <v>-11.25</v>
      </c>
      <c r="D30" s="12" t="s">
        <v>34</v>
      </c>
      <c r="E30" s="12" t="s">
        <v>202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-11.25</v>
      </c>
    </row>
    <row r="31" spans="1:10" x14ac:dyDescent="0.45">
      <c r="A31" s="12"/>
      <c r="B31" s="12" t="s">
        <v>36</v>
      </c>
      <c r="C31" s="13">
        <v>7.02</v>
      </c>
      <c r="D31" s="12" t="s">
        <v>34</v>
      </c>
      <c r="E31" s="12" t="s">
        <v>204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7.02</v>
      </c>
    </row>
    <row r="32" spans="1:10" x14ac:dyDescent="0.45">
      <c r="A32" s="12"/>
      <c r="B32" s="12" t="s">
        <v>37</v>
      </c>
      <c r="C32" s="13">
        <v>-3.89</v>
      </c>
      <c r="D32" s="12" t="s">
        <v>34</v>
      </c>
      <c r="E32" s="12" t="s">
        <v>222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-3.89</v>
      </c>
    </row>
    <row r="33" spans="1:10" x14ac:dyDescent="0.45">
      <c r="A33" s="12" t="s">
        <v>123</v>
      </c>
      <c r="B33" s="12" t="s">
        <v>124</v>
      </c>
      <c r="C33" s="13">
        <v>25.43</v>
      </c>
      <c r="D33" s="12" t="s">
        <v>13</v>
      </c>
      <c r="E33" s="12" t="s">
        <v>208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25.43</v>
      </c>
    </row>
    <row r="34" spans="1:10" x14ac:dyDescent="0.45">
      <c r="A34" s="12"/>
      <c r="B34" s="12" t="s">
        <v>125</v>
      </c>
      <c r="C34" s="13">
        <v>-25.41</v>
      </c>
      <c r="D34" s="12" t="s">
        <v>13</v>
      </c>
      <c r="E34" s="12" t="s">
        <v>209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-25.41</v>
      </c>
    </row>
    <row r="35" spans="1:10" x14ac:dyDescent="0.45">
      <c r="A35" s="12" t="s">
        <v>126</v>
      </c>
      <c r="B35" s="12" t="s">
        <v>38</v>
      </c>
      <c r="C35" s="13">
        <v>0.14000000000000001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0.14000000000000001</v>
      </c>
    </row>
    <row r="36" spans="1:10" x14ac:dyDescent="0.45">
      <c r="A36" s="12" t="s">
        <v>127</v>
      </c>
      <c r="B36" s="12" t="s">
        <v>139</v>
      </c>
      <c r="C36" s="13">
        <v>-2.25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-2.25</v>
      </c>
    </row>
    <row r="37" spans="1:10" x14ac:dyDescent="0.45">
      <c r="A37" s="12"/>
      <c r="B37" s="12" t="s">
        <v>140</v>
      </c>
      <c r="C37" s="13">
        <v>-11.42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-11.42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5.1840000000000002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5.1840000000000002</v>
      </c>
    </row>
    <row r="40" spans="1:10" x14ac:dyDescent="0.45">
      <c r="A40" s="12"/>
      <c r="B40" s="12" t="s">
        <v>43</v>
      </c>
      <c r="C40" s="16">
        <v>2.331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2.331</v>
      </c>
    </row>
    <row r="41" spans="1:10" x14ac:dyDescent="0.45">
      <c r="A41" s="12" t="s">
        <v>130</v>
      </c>
      <c r="B41" s="12" t="s">
        <v>44</v>
      </c>
      <c r="C41" s="13">
        <v>14.6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14.6</v>
      </c>
    </row>
    <row r="42" spans="1:10" x14ac:dyDescent="0.45">
      <c r="A42" s="12"/>
      <c r="B42" s="12" t="s">
        <v>45</v>
      </c>
      <c r="C42" s="13">
        <v>6.57</v>
      </c>
      <c r="D42" s="12" t="s">
        <v>34</v>
      </c>
      <c r="E42" s="12" t="s">
        <v>219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6.57</v>
      </c>
    </row>
    <row r="43" spans="1:10" x14ac:dyDescent="0.45">
      <c r="A43" s="12" t="s">
        <v>131</v>
      </c>
      <c r="B43" s="12" t="s">
        <v>46</v>
      </c>
      <c r="C43" s="13">
        <v>1.85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1.85</v>
      </c>
    </row>
    <row r="44" spans="1:10" x14ac:dyDescent="0.45">
      <c r="A44" s="12"/>
      <c r="B44" s="12" t="s">
        <v>47</v>
      </c>
      <c r="C44" s="13">
        <v>2.48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2.48</v>
      </c>
    </row>
    <row r="45" spans="1:10" x14ac:dyDescent="0.45">
      <c r="A45" s="12" t="s">
        <v>132</v>
      </c>
      <c r="B45" s="12" t="s">
        <v>48</v>
      </c>
      <c r="C45" s="13">
        <v>0.81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0.81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37.83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37.83</v>
      </c>
    </row>
    <row r="48" spans="1:10" x14ac:dyDescent="0.45">
      <c r="A48" s="12"/>
      <c r="B48" s="12" t="s">
        <v>52</v>
      </c>
      <c r="C48" s="13">
        <v>50.91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50.91</v>
      </c>
    </row>
    <row r="49" spans="1:10" x14ac:dyDescent="0.45">
      <c r="A49" s="12" t="s">
        <v>134</v>
      </c>
      <c r="B49" s="12" t="s">
        <v>53</v>
      </c>
      <c r="C49" s="13">
        <v>132.80000000000001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132.80000000000001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CF9C2CAB-18F1-4DDB-B86B-01180AFE2C53}">
      <formula1>"PA,MA"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92C0-EDD1-4074-B2F7-E1642DB9E8A4}">
  <sheetPr codeName="Sheet13">
    <tabColor theme="9"/>
  </sheetPr>
  <dimension ref="A1:P250"/>
  <sheetViews>
    <sheetView workbookViewId="0">
      <selection activeCell="G21" sqref="G21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4.87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4.87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4.87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4.87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UP0018-eff</v>
      </c>
      <c r="P3" s="4" t="str">
        <f ca="1">IF(LEFT(O3,11)="SHAPE-THIN ",MID(O3,12,50)&amp;"-"&amp;O2,O3&amp;"-"&amp;O2)</f>
        <v>UP0018-eff-MA</v>
      </c>
    </row>
    <row r="4" spans="1:16" x14ac:dyDescent="0.45">
      <c r="A4" s="12" t="s">
        <v>97</v>
      </c>
      <c r="B4" s="12" t="s">
        <v>7</v>
      </c>
      <c r="C4" s="13">
        <v>0.98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0.98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4.87</v>
      </c>
    </row>
    <row r="5" spans="1:16" x14ac:dyDescent="0.45">
      <c r="A5" s="12"/>
      <c r="B5" s="12" t="s">
        <v>8</v>
      </c>
      <c r="C5" s="13">
        <v>0.89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0.89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90.18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19.78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4.3</v>
      </c>
    </row>
    <row r="8" spans="1:16" x14ac:dyDescent="0.45">
      <c r="A8" s="12" t="s">
        <v>100</v>
      </c>
      <c r="B8" s="12" t="s">
        <v>12</v>
      </c>
      <c r="C8" s="13">
        <v>90.18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90.18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2.02</v>
      </c>
    </row>
    <row r="9" spans="1:16" x14ac:dyDescent="0.45">
      <c r="A9" s="12"/>
      <c r="B9" s="12" t="s">
        <v>14</v>
      </c>
      <c r="C9" s="13">
        <v>19.78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19.78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15.03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4.8499999999999996</v>
      </c>
    </row>
    <row r="11" spans="1:16" x14ac:dyDescent="0.45">
      <c r="A11" s="12" t="s">
        <v>104</v>
      </c>
      <c r="B11" s="12" t="s">
        <v>17</v>
      </c>
      <c r="C11" s="13">
        <v>109.95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109.95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0.05</v>
      </c>
    </row>
    <row r="12" spans="1:16" x14ac:dyDescent="0.45">
      <c r="A12" s="12"/>
      <c r="B12" s="12" t="s">
        <v>18</v>
      </c>
      <c r="C12" s="13">
        <v>205.27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205.27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4.42</v>
      </c>
    </row>
    <row r="13" spans="1:16" x14ac:dyDescent="0.45">
      <c r="A13" s="12" t="s">
        <v>105</v>
      </c>
      <c r="B13" s="12" t="s">
        <v>20</v>
      </c>
      <c r="C13" s="13">
        <v>4.3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4.3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677.5</v>
      </c>
    </row>
    <row r="14" spans="1:16" x14ac:dyDescent="0.45">
      <c r="A14" s="12"/>
      <c r="B14" s="12" t="s">
        <v>21</v>
      </c>
      <c r="C14" s="13">
        <v>2.02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2.02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4.75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4.75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6.49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6.49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1.82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1.82</v>
      </c>
    </row>
    <row r="18" spans="1:10" x14ac:dyDescent="0.45">
      <c r="A18" s="12" t="s">
        <v>111</v>
      </c>
      <c r="B18" s="12" t="s">
        <v>23</v>
      </c>
      <c r="C18" s="15">
        <v>3.8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3.8</v>
      </c>
    </row>
    <row r="19" spans="1:10" x14ac:dyDescent="0.45">
      <c r="A19" s="12" t="s">
        <v>112</v>
      </c>
      <c r="B19" s="12" t="s">
        <v>25</v>
      </c>
      <c r="C19" s="13">
        <v>57.32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57.32</v>
      </c>
    </row>
    <row r="20" spans="1:10" x14ac:dyDescent="0.45">
      <c r="A20" s="12" t="s">
        <v>113</v>
      </c>
      <c r="B20" s="12" t="s">
        <v>26</v>
      </c>
      <c r="C20" s="13">
        <v>0.05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0.05</v>
      </c>
    </row>
    <row r="21" spans="1:10" x14ac:dyDescent="0.45">
      <c r="A21" s="12" t="s">
        <v>115</v>
      </c>
      <c r="B21" s="12" t="s">
        <v>27</v>
      </c>
      <c r="C21" s="13">
        <v>44.04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44.04</v>
      </c>
    </row>
    <row r="22" spans="1:10" x14ac:dyDescent="0.45">
      <c r="A22" s="12" t="s">
        <v>116</v>
      </c>
      <c r="B22" s="12" t="s">
        <v>28</v>
      </c>
      <c r="C22" s="13">
        <v>4.42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4.42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4.42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4.42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2442.29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2442.29</v>
      </c>
    </row>
    <row r="27" spans="1:10" x14ac:dyDescent="0.45">
      <c r="A27" s="12"/>
      <c r="B27" s="12" t="s">
        <v>119</v>
      </c>
      <c r="C27" s="13">
        <v>677.5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677.5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15.03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15.03</v>
      </c>
    </row>
    <row r="30" spans="1:10" x14ac:dyDescent="0.45">
      <c r="A30" s="12"/>
      <c r="B30" s="12" t="s">
        <v>35</v>
      </c>
      <c r="C30" s="13">
        <v>-15.03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-15.03</v>
      </c>
    </row>
    <row r="31" spans="1:10" x14ac:dyDescent="0.45">
      <c r="A31" s="12"/>
      <c r="B31" s="12" t="s">
        <v>36</v>
      </c>
      <c r="C31" s="13">
        <v>8.9</v>
      </c>
      <c r="D31" s="12" t="s">
        <v>34</v>
      </c>
      <c r="E31" s="12" t="s">
        <v>216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8.9</v>
      </c>
    </row>
    <row r="32" spans="1:10" x14ac:dyDescent="0.45">
      <c r="A32" s="12"/>
      <c r="B32" s="12" t="s">
        <v>37</v>
      </c>
      <c r="C32" s="13">
        <v>-4.8499999999999996</v>
      </c>
      <c r="D32" s="12" t="s">
        <v>34</v>
      </c>
      <c r="E32" s="12" t="s">
        <v>213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-4.8499999999999996</v>
      </c>
    </row>
    <row r="33" spans="1:10" x14ac:dyDescent="0.45">
      <c r="A33" s="12" t="s">
        <v>123</v>
      </c>
      <c r="B33" s="12" t="s">
        <v>124</v>
      </c>
      <c r="C33" s="13">
        <v>31.69</v>
      </c>
      <c r="D33" s="12" t="s">
        <v>13</v>
      </c>
      <c r="E33" s="12" t="s">
        <v>217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31.69</v>
      </c>
    </row>
    <row r="34" spans="1:10" x14ac:dyDescent="0.45">
      <c r="A34" s="12"/>
      <c r="B34" s="12" t="s">
        <v>125</v>
      </c>
      <c r="C34" s="13">
        <v>-31.7</v>
      </c>
      <c r="D34" s="12" t="s">
        <v>13</v>
      </c>
      <c r="E34" s="12" t="s">
        <v>215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-31.7</v>
      </c>
    </row>
    <row r="35" spans="1:10" x14ac:dyDescent="0.45">
      <c r="A35" s="12" t="s">
        <v>126</v>
      </c>
      <c r="B35" s="12" t="s">
        <v>38</v>
      </c>
      <c r="C35" s="13">
        <v>0.23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0.23</v>
      </c>
    </row>
    <row r="36" spans="1:10" x14ac:dyDescent="0.45">
      <c r="A36" s="12" t="s">
        <v>127</v>
      </c>
      <c r="B36" s="12" t="s">
        <v>139</v>
      </c>
      <c r="C36" s="13">
        <v>-2.14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-2.14</v>
      </c>
    </row>
    <row r="37" spans="1:10" x14ac:dyDescent="0.45">
      <c r="A37" s="12"/>
      <c r="B37" s="12" t="s">
        <v>140</v>
      </c>
      <c r="C37" s="13">
        <v>-10.99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-10.99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6.8419999999999996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6.8419999999999996</v>
      </c>
    </row>
    <row r="40" spans="1:10" x14ac:dyDescent="0.45">
      <c r="A40" s="12"/>
      <c r="B40" s="12" t="s">
        <v>43</v>
      </c>
      <c r="C40" s="16">
        <v>2.9289999999999998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2.9289999999999998</v>
      </c>
    </row>
    <row r="41" spans="1:10" x14ac:dyDescent="0.45">
      <c r="A41" s="12" t="s">
        <v>130</v>
      </c>
      <c r="B41" s="12" t="s">
        <v>44</v>
      </c>
      <c r="C41" s="13">
        <v>19.27</v>
      </c>
      <c r="D41" s="12" t="s">
        <v>34</v>
      </c>
      <c r="E41" s="12" t="s">
        <v>159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19.27</v>
      </c>
    </row>
    <row r="42" spans="1:10" x14ac:dyDescent="0.45">
      <c r="A42" s="12"/>
      <c r="B42" s="12" t="s">
        <v>45</v>
      </c>
      <c r="C42" s="13">
        <v>8.25</v>
      </c>
      <c r="D42" s="12" t="s">
        <v>34</v>
      </c>
      <c r="E42" s="12" t="s">
        <v>210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8.25</v>
      </c>
    </row>
    <row r="43" spans="1:10" x14ac:dyDescent="0.45">
      <c r="A43" s="12" t="s">
        <v>131</v>
      </c>
      <c r="B43" s="12" t="s">
        <v>46</v>
      </c>
      <c r="C43" s="13">
        <v>2.5099999999999998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2.5099999999999998</v>
      </c>
    </row>
    <row r="44" spans="1:10" x14ac:dyDescent="0.45">
      <c r="A44" s="12"/>
      <c r="B44" s="12" t="s">
        <v>47</v>
      </c>
      <c r="C44" s="13">
        <v>3.1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3.1</v>
      </c>
    </row>
    <row r="45" spans="1:10" x14ac:dyDescent="0.45">
      <c r="A45" s="12" t="s">
        <v>132</v>
      </c>
      <c r="B45" s="12" t="s">
        <v>48</v>
      </c>
      <c r="C45" s="13">
        <v>0.79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0.79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51.4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51.4</v>
      </c>
    </row>
    <row r="48" spans="1:10" x14ac:dyDescent="0.45">
      <c r="A48" s="12"/>
      <c r="B48" s="12" t="s">
        <v>52</v>
      </c>
      <c r="C48" s="13">
        <v>63.47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63.47</v>
      </c>
    </row>
    <row r="49" spans="1:10" x14ac:dyDescent="0.45">
      <c r="A49" s="12" t="s">
        <v>134</v>
      </c>
      <c r="B49" s="12" t="s">
        <v>53</v>
      </c>
      <c r="C49" s="13">
        <v>172.84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172.84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3D6C52DF-4B03-4D85-A514-792CE555568E}">
      <formula1>"PA,MA"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32C6-15AF-4CE1-833F-85B05E9EA443}">
  <sheetPr codeName="Sheet14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4.67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4.67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4.67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4.67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UP0019-eff</v>
      </c>
      <c r="P3" s="4" t="str">
        <f ca="1">IF(LEFT(O3,11)="SHAPE-THIN ",MID(O3,12,50)&amp;"-"&amp;O2,O3&amp;"-"&amp;O2)</f>
        <v>UP0019-eff-MA</v>
      </c>
    </row>
    <row r="4" spans="1:16" x14ac:dyDescent="0.45">
      <c r="A4" s="12" t="s">
        <v>97</v>
      </c>
      <c r="B4" s="12" t="s">
        <v>7</v>
      </c>
      <c r="C4" s="13">
        <v>0.85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0.85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4.67</v>
      </c>
    </row>
    <row r="5" spans="1:16" x14ac:dyDescent="0.45">
      <c r="A5" s="12"/>
      <c r="B5" s="12" t="s">
        <v>8</v>
      </c>
      <c r="C5" s="13">
        <v>0.83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0.83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83.19</v>
      </c>
    </row>
    <row r="6" spans="1:16" x14ac:dyDescent="0.45">
      <c r="A6" s="12" t="s">
        <v>98</v>
      </c>
      <c r="B6" s="12" t="s">
        <v>9</v>
      </c>
      <c r="C6" s="13">
        <v>-0.03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-0.03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19.62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4.22</v>
      </c>
    </row>
    <row r="8" spans="1:16" x14ac:dyDescent="0.45">
      <c r="A8" s="12" t="s">
        <v>100</v>
      </c>
      <c r="B8" s="12" t="s">
        <v>12</v>
      </c>
      <c r="C8" s="13">
        <v>83.19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83.19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2.0499999999999998</v>
      </c>
    </row>
    <row r="9" spans="1:16" x14ac:dyDescent="0.45">
      <c r="A9" s="12"/>
      <c r="B9" s="12" t="s">
        <v>14</v>
      </c>
      <c r="C9" s="13">
        <v>19.62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19.62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13.87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4.8499999999999996</v>
      </c>
    </row>
    <row r="11" spans="1:16" x14ac:dyDescent="0.45">
      <c r="A11" s="12" t="s">
        <v>104</v>
      </c>
      <c r="B11" s="12" t="s">
        <v>17</v>
      </c>
      <c r="C11" s="13">
        <v>102.81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102.81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0.04</v>
      </c>
    </row>
    <row r="12" spans="1:16" x14ac:dyDescent="0.45">
      <c r="A12" s="12"/>
      <c r="B12" s="12" t="s">
        <v>18</v>
      </c>
      <c r="C12" s="13">
        <v>201.31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201.31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4.59</v>
      </c>
    </row>
    <row r="13" spans="1:16" x14ac:dyDescent="0.45">
      <c r="A13" s="12" t="s">
        <v>105</v>
      </c>
      <c r="B13" s="12" t="s">
        <v>20</v>
      </c>
      <c r="C13" s="13">
        <v>4.22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4.22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658.18</v>
      </c>
    </row>
    <row r="14" spans="1:16" x14ac:dyDescent="0.45">
      <c r="A14" s="12"/>
      <c r="B14" s="12" t="s">
        <v>21</v>
      </c>
      <c r="C14" s="13">
        <v>2.0499999999999998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2.0499999999999998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4.6900000000000004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4.6900000000000004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6.57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6.57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1.81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1.81</v>
      </c>
    </row>
    <row r="18" spans="1:10" x14ac:dyDescent="0.45">
      <c r="A18" s="12" t="s">
        <v>111</v>
      </c>
      <c r="B18" s="12" t="s">
        <v>23</v>
      </c>
      <c r="C18" s="15">
        <v>3.7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3.7</v>
      </c>
    </row>
    <row r="19" spans="1:10" x14ac:dyDescent="0.45">
      <c r="A19" s="12" t="s">
        <v>112</v>
      </c>
      <c r="B19" s="12" t="s">
        <v>25</v>
      </c>
      <c r="C19" s="13">
        <v>57.79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57.79</v>
      </c>
    </row>
    <row r="20" spans="1:10" x14ac:dyDescent="0.45">
      <c r="A20" s="12" t="s">
        <v>113</v>
      </c>
      <c r="B20" s="12" t="s">
        <v>26</v>
      </c>
      <c r="C20" s="13">
        <v>0.04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0.04</v>
      </c>
    </row>
    <row r="21" spans="1:10" x14ac:dyDescent="0.45">
      <c r="A21" s="12" t="s">
        <v>115</v>
      </c>
      <c r="B21" s="12" t="s">
        <v>27</v>
      </c>
      <c r="C21" s="13">
        <v>38.369999999999997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38.369999999999997</v>
      </c>
    </row>
    <row r="22" spans="1:10" x14ac:dyDescent="0.45">
      <c r="A22" s="12" t="s">
        <v>116</v>
      </c>
      <c r="B22" s="12" t="s">
        <v>28</v>
      </c>
      <c r="C22" s="13">
        <v>4.57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4.57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4.59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4.59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2413.09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2413.09</v>
      </c>
    </row>
    <row r="27" spans="1:10" x14ac:dyDescent="0.45">
      <c r="A27" s="12"/>
      <c r="B27" s="12" t="s">
        <v>119</v>
      </c>
      <c r="C27" s="13">
        <v>658.18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658.18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13.87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13.87</v>
      </c>
    </row>
    <row r="30" spans="1:10" x14ac:dyDescent="0.45">
      <c r="A30" s="12"/>
      <c r="B30" s="12" t="s">
        <v>35</v>
      </c>
      <c r="C30" s="13">
        <v>-13.87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-13.87</v>
      </c>
    </row>
    <row r="31" spans="1:10" x14ac:dyDescent="0.45">
      <c r="A31" s="12"/>
      <c r="B31" s="12" t="s">
        <v>36</v>
      </c>
      <c r="C31" s="13">
        <v>8.68</v>
      </c>
      <c r="D31" s="12" t="s">
        <v>34</v>
      </c>
      <c r="E31" s="12" t="s">
        <v>207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8.68</v>
      </c>
    </row>
    <row r="32" spans="1:10" x14ac:dyDescent="0.45">
      <c r="A32" s="12"/>
      <c r="B32" s="12" t="s">
        <v>37</v>
      </c>
      <c r="C32" s="13">
        <v>-4.8499999999999996</v>
      </c>
      <c r="D32" s="12" t="s">
        <v>34</v>
      </c>
      <c r="E32" s="12" t="s">
        <v>176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-4.8499999999999996</v>
      </c>
    </row>
    <row r="33" spans="1:10" x14ac:dyDescent="0.45">
      <c r="A33" s="12" t="s">
        <v>123</v>
      </c>
      <c r="B33" s="12" t="s">
        <v>124</v>
      </c>
      <c r="C33" s="13">
        <v>31.57</v>
      </c>
      <c r="D33" s="12" t="s">
        <v>13</v>
      </c>
      <c r="E33" s="12" t="s">
        <v>218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31.57</v>
      </c>
    </row>
    <row r="34" spans="1:10" x14ac:dyDescent="0.45">
      <c r="A34" s="12"/>
      <c r="B34" s="12" t="s">
        <v>125</v>
      </c>
      <c r="C34" s="13">
        <v>-31.58</v>
      </c>
      <c r="D34" s="12" t="s">
        <v>13</v>
      </c>
      <c r="E34" s="12" t="s">
        <v>212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-31.58</v>
      </c>
    </row>
    <row r="35" spans="1:10" x14ac:dyDescent="0.45">
      <c r="A35" s="12" t="s">
        <v>126</v>
      </c>
      <c r="B35" s="12" t="s">
        <v>38</v>
      </c>
      <c r="C35" s="13">
        <v>0.2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0.2</v>
      </c>
    </row>
    <row r="36" spans="1:10" x14ac:dyDescent="0.45">
      <c r="A36" s="12" t="s">
        <v>127</v>
      </c>
      <c r="B36" s="12" t="s">
        <v>139</v>
      </c>
      <c r="C36" s="13">
        <v>-2.21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-2.21</v>
      </c>
    </row>
    <row r="37" spans="1:10" x14ac:dyDescent="0.45">
      <c r="A37" s="12"/>
      <c r="B37" s="12" t="s">
        <v>140</v>
      </c>
      <c r="C37" s="13">
        <v>-11.39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-11.39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6.4219999999999997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6.4219999999999997</v>
      </c>
    </row>
    <row r="40" spans="1:10" x14ac:dyDescent="0.45">
      <c r="A40" s="12"/>
      <c r="B40" s="12" t="s">
        <v>43</v>
      </c>
      <c r="C40" s="16">
        <v>2.9129999999999998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2.9129999999999998</v>
      </c>
    </row>
    <row r="41" spans="1:10" x14ac:dyDescent="0.45">
      <c r="A41" s="12" t="s">
        <v>130</v>
      </c>
      <c r="B41" s="12" t="s">
        <v>44</v>
      </c>
      <c r="C41" s="13">
        <v>18.09</v>
      </c>
      <c r="D41" s="12" t="s">
        <v>34</v>
      </c>
      <c r="E41" s="12" t="s">
        <v>141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18.09</v>
      </c>
    </row>
    <row r="42" spans="1:10" x14ac:dyDescent="0.45">
      <c r="A42" s="12"/>
      <c r="B42" s="12" t="s">
        <v>45</v>
      </c>
      <c r="C42" s="13">
        <v>8.2100000000000009</v>
      </c>
      <c r="D42" s="12" t="s">
        <v>34</v>
      </c>
      <c r="E42" s="12" t="s">
        <v>219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8.2100000000000009</v>
      </c>
    </row>
    <row r="43" spans="1:10" x14ac:dyDescent="0.45">
      <c r="A43" s="12" t="s">
        <v>131</v>
      </c>
      <c r="B43" s="12" t="s">
        <v>46</v>
      </c>
      <c r="C43" s="13">
        <v>2.31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2.31</v>
      </c>
    </row>
    <row r="44" spans="1:10" x14ac:dyDescent="0.45">
      <c r="A44" s="12"/>
      <c r="B44" s="12" t="s">
        <v>47</v>
      </c>
      <c r="C44" s="13">
        <v>3.1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3.1</v>
      </c>
    </row>
    <row r="45" spans="1:10" x14ac:dyDescent="0.45">
      <c r="A45" s="12" t="s">
        <v>132</v>
      </c>
      <c r="B45" s="12" t="s">
        <v>48</v>
      </c>
      <c r="C45" s="13">
        <v>0.71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0.71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47.28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47.28</v>
      </c>
    </row>
    <row r="48" spans="1:10" x14ac:dyDescent="0.45">
      <c r="A48" s="12"/>
      <c r="B48" s="12" t="s">
        <v>52</v>
      </c>
      <c r="C48" s="13">
        <v>63.47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63.47</v>
      </c>
    </row>
    <row r="49" spans="1:10" x14ac:dyDescent="0.45">
      <c r="A49" s="12" t="s">
        <v>134</v>
      </c>
      <c r="B49" s="12" t="s">
        <v>53</v>
      </c>
      <c r="C49" s="13">
        <v>165.72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165.72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8BB22859-2795-4285-B169-504B8A3F99E8}">
      <formula1>"PA,MA"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48E3-9E5C-4169-A1C5-92CBDEB492B0}">
  <sheetPr codeName="Sheet15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6.09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6.09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6.09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6.09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UP0020-eff</v>
      </c>
      <c r="P3" s="4" t="str">
        <f ca="1">IF(LEFT(O3,11)="SHAPE-THIN ",MID(O3,12,50)&amp;"-"&amp;O2,O3&amp;"-"&amp;O2)</f>
        <v>UP0020-eff-MA</v>
      </c>
    </row>
    <row r="4" spans="1:16" x14ac:dyDescent="0.45">
      <c r="A4" s="12" t="s">
        <v>97</v>
      </c>
      <c r="B4" s="12" t="s">
        <v>7</v>
      </c>
      <c r="C4" s="13">
        <v>1.23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1.23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6.09</v>
      </c>
    </row>
    <row r="5" spans="1:16" x14ac:dyDescent="0.45">
      <c r="A5" s="12"/>
      <c r="B5" s="12" t="s">
        <v>8</v>
      </c>
      <c r="C5" s="13">
        <v>1.1100000000000001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1.1100000000000001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111.51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24.79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4.28</v>
      </c>
    </row>
    <row r="8" spans="1:16" x14ac:dyDescent="0.45">
      <c r="A8" s="12" t="s">
        <v>100</v>
      </c>
      <c r="B8" s="12" t="s">
        <v>12</v>
      </c>
      <c r="C8" s="13">
        <v>111.51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111.51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2.02</v>
      </c>
    </row>
    <row r="9" spans="1:16" x14ac:dyDescent="0.45">
      <c r="A9" s="12"/>
      <c r="B9" s="12" t="s">
        <v>14</v>
      </c>
      <c r="C9" s="13">
        <v>24.79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24.79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18.579999999999998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6.05</v>
      </c>
    </row>
    <row r="11" spans="1:16" x14ac:dyDescent="0.45">
      <c r="A11" s="12" t="s">
        <v>104</v>
      </c>
      <c r="B11" s="12" t="s">
        <v>17</v>
      </c>
      <c r="C11" s="13">
        <v>136.30000000000001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136.30000000000001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0.09</v>
      </c>
    </row>
    <row r="12" spans="1:16" x14ac:dyDescent="0.45">
      <c r="A12" s="12"/>
      <c r="B12" s="12" t="s">
        <v>18</v>
      </c>
      <c r="C12" s="13">
        <v>255.21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255.21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4.42</v>
      </c>
    </row>
    <row r="13" spans="1:16" x14ac:dyDescent="0.45">
      <c r="A13" s="12" t="s">
        <v>105</v>
      </c>
      <c r="B13" s="12" t="s">
        <v>20</v>
      </c>
      <c r="C13" s="13">
        <v>4.28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4.28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832.72</v>
      </c>
    </row>
    <row r="14" spans="1:16" x14ac:dyDescent="0.45">
      <c r="A14" s="12"/>
      <c r="B14" s="12" t="s">
        <v>21</v>
      </c>
      <c r="C14" s="13">
        <v>2.02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2.02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4.7300000000000004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4.7300000000000004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6.47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6.47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1.81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1.81</v>
      </c>
    </row>
    <row r="18" spans="1:10" x14ac:dyDescent="0.45">
      <c r="A18" s="12" t="s">
        <v>111</v>
      </c>
      <c r="B18" s="12" t="s">
        <v>23</v>
      </c>
      <c r="C18" s="15">
        <v>4.8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4.8</v>
      </c>
    </row>
    <row r="19" spans="1:10" x14ac:dyDescent="0.45">
      <c r="A19" s="12" t="s">
        <v>112</v>
      </c>
      <c r="B19" s="12" t="s">
        <v>25</v>
      </c>
      <c r="C19" s="13">
        <v>57.69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57.69</v>
      </c>
    </row>
    <row r="20" spans="1:10" x14ac:dyDescent="0.45">
      <c r="A20" s="12" t="s">
        <v>113</v>
      </c>
      <c r="B20" s="12" t="s">
        <v>26</v>
      </c>
      <c r="C20" s="13">
        <v>0.09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0.09</v>
      </c>
    </row>
    <row r="21" spans="1:10" x14ac:dyDescent="0.45">
      <c r="A21" s="12" t="s">
        <v>115</v>
      </c>
      <c r="B21" s="12" t="s">
        <v>27</v>
      </c>
      <c r="C21" s="13">
        <v>53.64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53.64</v>
      </c>
    </row>
    <row r="22" spans="1:10" x14ac:dyDescent="0.45">
      <c r="A22" s="12" t="s">
        <v>116</v>
      </c>
      <c r="B22" s="12" t="s">
        <v>28</v>
      </c>
      <c r="C22" s="13">
        <v>4.42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4.42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4.42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4.42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3010.86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3010.86</v>
      </c>
    </row>
    <row r="27" spans="1:10" x14ac:dyDescent="0.45">
      <c r="A27" s="12"/>
      <c r="B27" s="12" t="s">
        <v>119</v>
      </c>
      <c r="C27" s="13">
        <v>832.72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832.72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18.579999999999998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18.579999999999998</v>
      </c>
    </row>
    <row r="30" spans="1:10" x14ac:dyDescent="0.45">
      <c r="A30" s="12"/>
      <c r="B30" s="12" t="s">
        <v>35</v>
      </c>
      <c r="C30" s="13">
        <v>-18.579999999999998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-18.579999999999998</v>
      </c>
    </row>
    <row r="31" spans="1:10" x14ac:dyDescent="0.45">
      <c r="A31" s="12"/>
      <c r="B31" s="12" t="s">
        <v>36</v>
      </c>
      <c r="C31" s="13">
        <v>11</v>
      </c>
      <c r="D31" s="12" t="s">
        <v>34</v>
      </c>
      <c r="E31" s="12" t="s">
        <v>206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11</v>
      </c>
    </row>
    <row r="32" spans="1:10" x14ac:dyDescent="0.45">
      <c r="A32" s="12"/>
      <c r="B32" s="12" t="s">
        <v>37</v>
      </c>
      <c r="C32" s="13">
        <v>-6.05</v>
      </c>
      <c r="D32" s="12" t="s">
        <v>34</v>
      </c>
      <c r="E32" s="12" t="s">
        <v>214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-6.05</v>
      </c>
    </row>
    <row r="33" spans="1:10" x14ac:dyDescent="0.45">
      <c r="A33" s="12" t="s">
        <v>123</v>
      </c>
      <c r="B33" s="12" t="s">
        <v>124</v>
      </c>
      <c r="C33" s="13">
        <v>39.47</v>
      </c>
      <c r="D33" s="12" t="s">
        <v>13</v>
      </c>
      <c r="E33" s="12" t="s">
        <v>217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39.47</v>
      </c>
    </row>
    <row r="34" spans="1:10" x14ac:dyDescent="0.45">
      <c r="A34" s="12"/>
      <c r="B34" s="12" t="s">
        <v>125</v>
      </c>
      <c r="C34" s="13">
        <v>-39.479999999999997</v>
      </c>
      <c r="D34" s="12" t="s">
        <v>13</v>
      </c>
      <c r="E34" s="12" t="s">
        <v>215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-39.479999999999997</v>
      </c>
    </row>
    <row r="35" spans="1:10" x14ac:dyDescent="0.45">
      <c r="A35" s="12" t="s">
        <v>126</v>
      </c>
      <c r="B35" s="12" t="s">
        <v>38</v>
      </c>
      <c r="C35" s="13">
        <v>0.34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0.34</v>
      </c>
    </row>
    <row r="36" spans="1:10" x14ac:dyDescent="0.45">
      <c r="A36" s="12" t="s">
        <v>127</v>
      </c>
      <c r="B36" s="12" t="s">
        <v>139</v>
      </c>
      <c r="C36" s="13">
        <v>-2.12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-2.12</v>
      </c>
    </row>
    <row r="37" spans="1:10" x14ac:dyDescent="0.45">
      <c r="A37" s="12"/>
      <c r="B37" s="12" t="s">
        <v>140</v>
      </c>
      <c r="C37" s="13">
        <v>-10.96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-10.96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8.5090000000000003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8.5090000000000003</v>
      </c>
    </row>
    <row r="40" spans="1:10" x14ac:dyDescent="0.45">
      <c r="A40" s="12"/>
      <c r="B40" s="12" t="s">
        <v>43</v>
      </c>
      <c r="C40" s="16">
        <v>3.6629999999999998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3.6629999999999998</v>
      </c>
    </row>
    <row r="41" spans="1:10" x14ac:dyDescent="0.45">
      <c r="A41" s="12" t="s">
        <v>130</v>
      </c>
      <c r="B41" s="12" t="s">
        <v>44</v>
      </c>
      <c r="C41" s="13">
        <v>23.97</v>
      </c>
      <c r="D41" s="12" t="s">
        <v>34</v>
      </c>
      <c r="E41" s="12" t="s">
        <v>150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23.97</v>
      </c>
    </row>
    <row r="42" spans="1:10" x14ac:dyDescent="0.45">
      <c r="A42" s="12"/>
      <c r="B42" s="12" t="s">
        <v>45</v>
      </c>
      <c r="C42" s="13">
        <v>10.32</v>
      </c>
      <c r="D42" s="12" t="s">
        <v>34</v>
      </c>
      <c r="E42" s="12" t="s">
        <v>205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10.32</v>
      </c>
    </row>
    <row r="43" spans="1:10" x14ac:dyDescent="0.45">
      <c r="A43" s="12" t="s">
        <v>131</v>
      </c>
      <c r="B43" s="12" t="s">
        <v>46</v>
      </c>
      <c r="C43" s="13">
        <v>3.13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3.13</v>
      </c>
    </row>
    <row r="44" spans="1:10" x14ac:dyDescent="0.45">
      <c r="A44" s="12"/>
      <c r="B44" s="12" t="s">
        <v>47</v>
      </c>
      <c r="C44" s="13">
        <v>3.87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3.87</v>
      </c>
    </row>
    <row r="45" spans="1:10" x14ac:dyDescent="0.45">
      <c r="A45" s="12" t="s">
        <v>132</v>
      </c>
      <c r="B45" s="12" t="s">
        <v>48</v>
      </c>
      <c r="C45" s="13">
        <v>0.78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0.78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64.239999999999995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64.239999999999995</v>
      </c>
    </row>
    <row r="48" spans="1:10" x14ac:dyDescent="0.45">
      <c r="A48" s="12"/>
      <c r="B48" s="12" t="s">
        <v>52</v>
      </c>
      <c r="C48" s="13">
        <v>79.34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79.34</v>
      </c>
    </row>
    <row r="49" spans="1:10" x14ac:dyDescent="0.45">
      <c r="A49" s="12" t="s">
        <v>134</v>
      </c>
      <c r="B49" s="12" t="s">
        <v>53</v>
      </c>
      <c r="C49" s="13">
        <v>216.05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216.05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7C862CDF-DCD4-4A2F-87C5-551794DBFA36}">
      <formula1>"PA,MA"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5673-3F73-427B-8668-2CDE3E79F7E1}">
  <sheetPr codeName="Sheet16">
    <tabColor theme="9"/>
  </sheetPr>
  <dimension ref="A1:P250"/>
  <sheetViews>
    <sheetView workbookViewId="0">
      <selection activeCell="G22" sqref="G22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5.332031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5.84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5.84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5.84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5.84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UP0021-eff</v>
      </c>
      <c r="P3" s="4" t="str">
        <f ca="1">IF(LEFT(O3,11)="SHAPE-THIN ",MID(O3,12,50)&amp;"-"&amp;O2,O3&amp;"-"&amp;O2)</f>
        <v>UP0021-eff-MA</v>
      </c>
    </row>
    <row r="4" spans="1:16" x14ac:dyDescent="0.45">
      <c r="A4" s="12" t="s">
        <v>97</v>
      </c>
      <c r="B4" s="12" t="s">
        <v>7</v>
      </c>
      <c r="C4" s="13">
        <v>1.07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1.07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5.84</v>
      </c>
    </row>
    <row r="5" spans="1:16" x14ac:dyDescent="0.45">
      <c r="A5" s="12"/>
      <c r="B5" s="12" t="s">
        <v>8</v>
      </c>
      <c r="C5" s="13">
        <v>1.03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1.03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102.85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24.57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</v>
      </c>
    </row>
    <row r="8" spans="1:16" x14ac:dyDescent="0.45">
      <c r="A8" s="12" t="s">
        <v>100</v>
      </c>
      <c r="B8" s="12" t="s">
        <v>12</v>
      </c>
      <c r="C8" s="13">
        <v>102.85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102.85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2.0499999999999998</v>
      </c>
    </row>
    <row r="9" spans="1:16" x14ac:dyDescent="0.45">
      <c r="A9" s="12"/>
      <c r="B9" s="12" t="s">
        <v>14</v>
      </c>
      <c r="C9" s="13">
        <v>24.57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24.57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17.14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6.05</v>
      </c>
    </row>
    <row r="11" spans="1:16" x14ac:dyDescent="0.45">
      <c r="A11" s="12" t="s">
        <v>104</v>
      </c>
      <c r="B11" s="12" t="s">
        <v>17</v>
      </c>
      <c r="C11" s="13">
        <v>127.42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127.42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0.08</v>
      </c>
    </row>
    <row r="12" spans="1:16" x14ac:dyDescent="0.45">
      <c r="A12" s="12"/>
      <c r="B12" s="12" t="s">
        <v>18</v>
      </c>
      <c r="C12" s="13">
        <v>250.5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250.5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4.59</v>
      </c>
    </row>
    <row r="13" spans="1:16" x14ac:dyDescent="0.45">
      <c r="A13" s="12" t="s">
        <v>105</v>
      </c>
      <c r="B13" s="12" t="s">
        <v>20</v>
      </c>
      <c r="C13" s="13">
        <v>4.2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808.2</v>
      </c>
    </row>
    <row r="14" spans="1:16" x14ac:dyDescent="0.45">
      <c r="A14" s="12"/>
      <c r="B14" s="12" t="s">
        <v>21</v>
      </c>
      <c r="C14" s="13">
        <v>2.0499999999999998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2.0499999999999998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4.67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4.67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6.55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6.55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1.8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1.8</v>
      </c>
    </row>
    <row r="18" spans="1:10" x14ac:dyDescent="0.45">
      <c r="A18" s="12" t="s">
        <v>111</v>
      </c>
      <c r="B18" s="12" t="s">
        <v>23</v>
      </c>
      <c r="C18" s="15">
        <v>4.5999999999999996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4.5999999999999996</v>
      </c>
    </row>
    <row r="19" spans="1:10" x14ac:dyDescent="0.45">
      <c r="A19" s="12" t="s">
        <v>112</v>
      </c>
      <c r="B19" s="12" t="s">
        <v>25</v>
      </c>
      <c r="C19" s="13">
        <v>58.28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58.28</v>
      </c>
    </row>
    <row r="20" spans="1:10" x14ac:dyDescent="0.45">
      <c r="A20" s="12" t="s">
        <v>113</v>
      </c>
      <c r="B20" s="12" t="s">
        <v>26</v>
      </c>
      <c r="C20" s="13">
        <v>0.08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0.08</v>
      </c>
    </row>
    <row r="21" spans="1:10" x14ac:dyDescent="0.45">
      <c r="A21" s="12" t="s">
        <v>115</v>
      </c>
      <c r="B21" s="12" t="s">
        <v>27</v>
      </c>
      <c r="C21" s="13">
        <v>46.8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46.8</v>
      </c>
    </row>
    <row r="22" spans="1:10" x14ac:dyDescent="0.45">
      <c r="A22" s="12" t="s">
        <v>116</v>
      </c>
      <c r="B22" s="12" t="s">
        <v>28</v>
      </c>
      <c r="C22" s="13">
        <v>4.59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4.59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4.59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4.59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2976.92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2976.92</v>
      </c>
    </row>
    <row r="27" spans="1:10" x14ac:dyDescent="0.45">
      <c r="A27" s="12"/>
      <c r="B27" s="12" t="s">
        <v>119</v>
      </c>
      <c r="C27" s="13">
        <v>808.2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808.2</v>
      </c>
    </row>
    <row r="28" spans="1:10" x14ac:dyDescent="0.45">
      <c r="A28" s="12" t="s">
        <v>120</v>
      </c>
      <c r="B28" s="12" t="s">
        <v>121</v>
      </c>
      <c r="C28" s="16">
        <v>-1E-3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-1E-3</v>
      </c>
    </row>
    <row r="29" spans="1:10" x14ac:dyDescent="0.45">
      <c r="A29" s="12" t="s">
        <v>122</v>
      </c>
      <c r="B29" s="12" t="s">
        <v>33</v>
      </c>
      <c r="C29" s="13">
        <v>17.14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17.14</v>
      </c>
    </row>
    <row r="30" spans="1:10" x14ac:dyDescent="0.45">
      <c r="A30" s="12"/>
      <c r="B30" s="12" t="s">
        <v>35</v>
      </c>
      <c r="C30" s="13">
        <v>-17.14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-17.14</v>
      </c>
    </row>
    <row r="31" spans="1:10" x14ac:dyDescent="0.45">
      <c r="A31" s="12"/>
      <c r="B31" s="12" t="s">
        <v>36</v>
      </c>
      <c r="C31" s="13">
        <v>10.73</v>
      </c>
      <c r="D31" s="12" t="s">
        <v>34</v>
      </c>
      <c r="E31" s="12" t="s">
        <v>211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10.73</v>
      </c>
    </row>
    <row r="32" spans="1:10" x14ac:dyDescent="0.45">
      <c r="A32" s="12"/>
      <c r="B32" s="12" t="s">
        <v>37</v>
      </c>
      <c r="C32" s="13">
        <v>-6.05</v>
      </c>
      <c r="D32" s="12" t="s">
        <v>34</v>
      </c>
      <c r="E32" s="12" t="s">
        <v>221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-6.05</v>
      </c>
    </row>
    <row r="33" spans="1:10" x14ac:dyDescent="0.45">
      <c r="A33" s="12" t="s">
        <v>123</v>
      </c>
      <c r="B33" s="12" t="s">
        <v>124</v>
      </c>
      <c r="C33" s="13">
        <v>39.299999999999997</v>
      </c>
      <c r="D33" s="12" t="s">
        <v>13</v>
      </c>
      <c r="E33" s="12" t="s">
        <v>218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39.299999999999997</v>
      </c>
    </row>
    <row r="34" spans="1:10" x14ac:dyDescent="0.45">
      <c r="A34" s="12"/>
      <c r="B34" s="12" t="s">
        <v>125</v>
      </c>
      <c r="C34" s="13">
        <v>-39.32</v>
      </c>
      <c r="D34" s="12" t="s">
        <v>13</v>
      </c>
      <c r="E34" s="12" t="s">
        <v>212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-39.32</v>
      </c>
    </row>
    <row r="35" spans="1:10" x14ac:dyDescent="0.45">
      <c r="A35" s="12" t="s">
        <v>126</v>
      </c>
      <c r="B35" s="12" t="s">
        <v>38</v>
      </c>
      <c r="C35" s="13">
        <v>0.31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0.31</v>
      </c>
    </row>
    <row r="36" spans="1:10" x14ac:dyDescent="0.45">
      <c r="A36" s="12" t="s">
        <v>127</v>
      </c>
      <c r="B36" s="12" t="s">
        <v>139</v>
      </c>
      <c r="C36" s="13">
        <v>-2.1800000000000002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-2.1800000000000002</v>
      </c>
    </row>
    <row r="37" spans="1:10" x14ac:dyDescent="0.45">
      <c r="A37" s="12"/>
      <c r="B37" s="12" t="s">
        <v>140</v>
      </c>
      <c r="C37" s="13">
        <v>-11.37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-11.37</v>
      </c>
    </row>
    <row r="38" spans="1:10" x14ac:dyDescent="0.45">
      <c r="A38" s="12" t="s">
        <v>128</v>
      </c>
      <c r="B38" s="14" t="s">
        <v>39</v>
      </c>
      <c r="C38" s="13">
        <v>0.01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0.01</v>
      </c>
    </row>
    <row r="39" spans="1:10" x14ac:dyDescent="0.45">
      <c r="A39" s="12" t="s">
        <v>129</v>
      </c>
      <c r="B39" s="12" t="s">
        <v>41</v>
      </c>
      <c r="C39" s="16">
        <v>7.9859999999999998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7.9859999999999998</v>
      </c>
    </row>
    <row r="40" spans="1:10" x14ac:dyDescent="0.45">
      <c r="A40" s="12"/>
      <c r="B40" s="12" t="s">
        <v>43</v>
      </c>
      <c r="C40" s="16">
        <v>3.6419999999999999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3.6419999999999999</v>
      </c>
    </row>
    <row r="41" spans="1:10" x14ac:dyDescent="0.45">
      <c r="A41" s="12" t="s">
        <v>130</v>
      </c>
      <c r="B41" s="12" t="s">
        <v>44</v>
      </c>
      <c r="C41" s="13">
        <v>22.5</v>
      </c>
      <c r="D41" s="12" t="s">
        <v>34</v>
      </c>
      <c r="E41" s="12" t="s">
        <v>155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22.5</v>
      </c>
    </row>
    <row r="42" spans="1:10" x14ac:dyDescent="0.45">
      <c r="A42" s="12"/>
      <c r="B42" s="12" t="s">
        <v>45</v>
      </c>
      <c r="C42" s="13">
        <v>10.26</v>
      </c>
      <c r="D42" s="12" t="s">
        <v>34</v>
      </c>
      <c r="E42" s="12" t="s">
        <v>219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10.26</v>
      </c>
    </row>
    <row r="43" spans="1:10" x14ac:dyDescent="0.45">
      <c r="A43" s="12" t="s">
        <v>131</v>
      </c>
      <c r="B43" s="12" t="s">
        <v>46</v>
      </c>
      <c r="C43" s="13">
        <v>2.88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2.88</v>
      </c>
    </row>
    <row r="44" spans="1:10" x14ac:dyDescent="0.45">
      <c r="A44" s="12"/>
      <c r="B44" s="12" t="s">
        <v>47</v>
      </c>
      <c r="C44" s="13">
        <v>3.87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3.87</v>
      </c>
    </row>
    <row r="45" spans="1:10" x14ac:dyDescent="0.45">
      <c r="A45" s="12" t="s">
        <v>132</v>
      </c>
      <c r="B45" s="12" t="s">
        <v>48</v>
      </c>
      <c r="C45" s="13">
        <v>0.67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0.67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59.11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59.11</v>
      </c>
    </row>
    <row r="48" spans="1:10" x14ac:dyDescent="0.45">
      <c r="A48" s="12"/>
      <c r="B48" s="12" t="s">
        <v>52</v>
      </c>
      <c r="C48" s="13">
        <v>79.34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79.34</v>
      </c>
    </row>
    <row r="49" spans="1:10" x14ac:dyDescent="0.45">
      <c r="A49" s="12" t="s">
        <v>134</v>
      </c>
      <c r="B49" s="12" t="s">
        <v>53</v>
      </c>
      <c r="C49" s="13">
        <v>207.15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207.15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D193FF70-430B-4911-A56C-9886407C1C74}">
      <formula1>"PA,MA"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4D3F-F6C7-49DB-8DE2-92B9358DE571}">
  <sheetPr codeName="Sheet17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6.06640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7.02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7.02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7.02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7.02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UP0022-eff</v>
      </c>
      <c r="P3" s="4" t="str">
        <f ca="1">IF(LEFT(O3,11)="SHAPE-THIN ",MID(O3,12,50)&amp;"-"&amp;O2,O3&amp;"-"&amp;O2)</f>
        <v>UP0022-eff-MA</v>
      </c>
    </row>
    <row r="4" spans="1:16" x14ac:dyDescent="0.45">
      <c r="A4" s="12" t="s">
        <v>97</v>
      </c>
      <c r="B4" s="12" t="s">
        <v>7</v>
      </c>
      <c r="C4" s="13">
        <v>1.95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1.95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7.02</v>
      </c>
    </row>
    <row r="5" spans="1:16" x14ac:dyDescent="0.45">
      <c r="A5" s="12"/>
      <c r="B5" s="12" t="s">
        <v>8</v>
      </c>
      <c r="C5" s="13">
        <v>0.78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0.78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124.73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83.35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4.21</v>
      </c>
    </row>
    <row r="8" spans="1:16" x14ac:dyDescent="0.45">
      <c r="A8" s="12" t="s">
        <v>100</v>
      </c>
      <c r="B8" s="12" t="s">
        <v>12</v>
      </c>
      <c r="C8" s="13">
        <v>124.73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124.73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3.44</v>
      </c>
    </row>
    <row r="9" spans="1:16" x14ac:dyDescent="0.45">
      <c r="A9" s="12"/>
      <c r="B9" s="12" t="s">
        <v>14</v>
      </c>
      <c r="C9" s="13">
        <v>83.35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83.35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20.79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12.94</v>
      </c>
    </row>
    <row r="11" spans="1:16" x14ac:dyDescent="0.45">
      <c r="A11" s="12" t="s">
        <v>104</v>
      </c>
      <c r="B11" s="12" t="s">
        <v>17</v>
      </c>
      <c r="C11" s="13">
        <v>208.08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208.08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0.06</v>
      </c>
    </row>
    <row r="12" spans="1:16" x14ac:dyDescent="0.45">
      <c r="A12" s="12"/>
      <c r="B12" s="12" t="s">
        <v>18</v>
      </c>
      <c r="C12" s="13">
        <v>722.45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722.45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8.56</v>
      </c>
    </row>
    <row r="13" spans="1:16" x14ac:dyDescent="0.45">
      <c r="A13" s="12" t="s">
        <v>105</v>
      </c>
      <c r="B13" s="12" t="s">
        <v>20</v>
      </c>
      <c r="C13" s="13">
        <v>4.21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4.21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4578.49</v>
      </c>
    </row>
    <row r="14" spans="1:16" x14ac:dyDescent="0.45">
      <c r="A14" s="12"/>
      <c r="B14" s="12" t="s">
        <v>21</v>
      </c>
      <c r="C14" s="13">
        <v>3.44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3.44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5.44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5.44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10.14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10.14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2.52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2.52</v>
      </c>
    </row>
    <row r="18" spans="1:10" x14ac:dyDescent="0.45">
      <c r="A18" s="12" t="s">
        <v>111</v>
      </c>
      <c r="B18" s="12" t="s">
        <v>23</v>
      </c>
      <c r="C18" s="15">
        <v>5.5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5.5</v>
      </c>
    </row>
    <row r="19" spans="1:10" x14ac:dyDescent="0.45">
      <c r="A19" s="12" t="s">
        <v>112</v>
      </c>
      <c r="B19" s="12" t="s">
        <v>25</v>
      </c>
      <c r="C19" s="13">
        <v>81.040000000000006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81.040000000000006</v>
      </c>
    </row>
    <row r="20" spans="1:10" x14ac:dyDescent="0.45">
      <c r="A20" s="12" t="s">
        <v>113</v>
      </c>
      <c r="B20" s="12" t="s">
        <v>26</v>
      </c>
      <c r="C20" s="13">
        <v>0.06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0.06</v>
      </c>
    </row>
    <row r="21" spans="1:10" x14ac:dyDescent="0.45">
      <c r="A21" s="12" t="s">
        <v>115</v>
      </c>
      <c r="B21" s="12" t="s">
        <v>27</v>
      </c>
      <c r="C21" s="13">
        <v>89.64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89.64</v>
      </c>
    </row>
    <row r="22" spans="1:10" x14ac:dyDescent="0.45">
      <c r="A22" s="12" t="s">
        <v>116</v>
      </c>
      <c r="B22" s="12" t="s">
        <v>28</v>
      </c>
      <c r="C22" s="13">
        <v>8.56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8.56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8.56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8.56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13713.64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13713.64</v>
      </c>
    </row>
    <row r="27" spans="1:10" x14ac:dyDescent="0.45">
      <c r="A27" s="12"/>
      <c r="B27" s="12" t="s">
        <v>119</v>
      </c>
      <c r="C27" s="13">
        <v>4578.49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4578.49</v>
      </c>
    </row>
    <row r="28" spans="1:10" x14ac:dyDescent="0.45">
      <c r="A28" s="12" t="s">
        <v>120</v>
      </c>
      <c r="B28" s="12" t="s">
        <v>121</v>
      </c>
      <c r="C28" s="16">
        <v>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3.0000000000000001E-3</v>
      </c>
    </row>
    <row r="29" spans="1:10" x14ac:dyDescent="0.45">
      <c r="A29" s="12" t="s">
        <v>122</v>
      </c>
      <c r="B29" s="12" t="s">
        <v>33</v>
      </c>
      <c r="C29" s="13">
        <v>20.79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20.79</v>
      </c>
    </row>
    <row r="30" spans="1:10" x14ac:dyDescent="0.45">
      <c r="A30" s="12"/>
      <c r="B30" s="12" t="s">
        <v>35</v>
      </c>
      <c r="C30" s="13">
        <v>-20.79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-20.79</v>
      </c>
    </row>
    <row r="31" spans="1:10" x14ac:dyDescent="0.45">
      <c r="A31" s="12"/>
      <c r="B31" s="12" t="s">
        <v>36</v>
      </c>
      <c r="C31" s="13">
        <v>20.29</v>
      </c>
      <c r="D31" s="12" t="s">
        <v>34</v>
      </c>
      <c r="E31" s="12" t="s">
        <v>223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20.29</v>
      </c>
    </row>
    <row r="32" spans="1:10" x14ac:dyDescent="0.45">
      <c r="A32" s="12"/>
      <c r="B32" s="12" t="s">
        <v>37</v>
      </c>
      <c r="C32" s="13">
        <v>-12.94</v>
      </c>
      <c r="D32" s="12" t="s">
        <v>34</v>
      </c>
      <c r="E32" s="12" t="s">
        <v>224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-12.94</v>
      </c>
    </row>
    <row r="33" spans="1:10" x14ac:dyDescent="0.45">
      <c r="A33" s="12" t="s">
        <v>123</v>
      </c>
      <c r="B33" s="12" t="s">
        <v>124</v>
      </c>
      <c r="C33" s="13">
        <v>95.94</v>
      </c>
      <c r="D33" s="12" t="s">
        <v>13</v>
      </c>
      <c r="E33" s="12" t="s">
        <v>225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95.94</v>
      </c>
    </row>
    <row r="34" spans="1:10" x14ac:dyDescent="0.45">
      <c r="A34" s="12"/>
      <c r="B34" s="12" t="s">
        <v>125</v>
      </c>
      <c r="C34" s="13">
        <v>-95.87</v>
      </c>
      <c r="D34" s="12" t="s">
        <v>13</v>
      </c>
      <c r="E34" s="12" t="s">
        <v>226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-95.87</v>
      </c>
    </row>
    <row r="35" spans="1:10" x14ac:dyDescent="0.45">
      <c r="A35" s="12" t="s">
        <v>126</v>
      </c>
      <c r="B35" s="12" t="s">
        <v>38</v>
      </c>
      <c r="C35" s="13">
        <v>0.31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0.31</v>
      </c>
    </row>
    <row r="36" spans="1:10" x14ac:dyDescent="0.45">
      <c r="A36" s="12" t="s">
        <v>127</v>
      </c>
      <c r="B36" s="12" t="s">
        <v>139</v>
      </c>
      <c r="C36" s="13">
        <v>-0.77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-0.77</v>
      </c>
    </row>
    <row r="37" spans="1:10" x14ac:dyDescent="0.45">
      <c r="A37" s="12"/>
      <c r="B37" s="12" t="s">
        <v>140</v>
      </c>
      <c r="C37" s="13">
        <v>-17.88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-17.88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9.6389999999999993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9.6389999999999993</v>
      </c>
    </row>
    <row r="40" spans="1:10" x14ac:dyDescent="0.45">
      <c r="A40" s="12"/>
      <c r="B40" s="12" t="s">
        <v>43</v>
      </c>
      <c r="C40" s="16">
        <v>7.6639999999999997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7.6639999999999997</v>
      </c>
    </row>
    <row r="41" spans="1:10" x14ac:dyDescent="0.45">
      <c r="A41" s="12" t="s">
        <v>130</v>
      </c>
      <c r="B41" s="12" t="s">
        <v>44</v>
      </c>
      <c r="C41" s="13">
        <v>27.15</v>
      </c>
      <c r="D41" s="12" t="s">
        <v>34</v>
      </c>
      <c r="E41" s="12" t="s">
        <v>155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27.15</v>
      </c>
    </row>
    <row r="42" spans="1:10" x14ac:dyDescent="0.45">
      <c r="A42" s="12"/>
      <c r="B42" s="12" t="s">
        <v>45</v>
      </c>
      <c r="C42" s="13">
        <v>21.59</v>
      </c>
      <c r="D42" s="12" t="s">
        <v>34</v>
      </c>
      <c r="E42" s="12" t="s">
        <v>227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21.59</v>
      </c>
    </row>
    <row r="43" spans="1:10" x14ac:dyDescent="0.45">
      <c r="A43" s="12" t="s">
        <v>131</v>
      </c>
      <c r="B43" s="12" t="s">
        <v>46</v>
      </c>
      <c r="C43" s="13">
        <v>4.12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4.12</v>
      </c>
    </row>
    <row r="44" spans="1:10" x14ac:dyDescent="0.45">
      <c r="A44" s="12"/>
      <c r="B44" s="12" t="s">
        <v>47</v>
      </c>
      <c r="C44" s="13">
        <v>4.0199999999999996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4.0199999999999996</v>
      </c>
    </row>
    <row r="45" spans="1:10" x14ac:dyDescent="0.45">
      <c r="A45" s="12" t="s">
        <v>132</v>
      </c>
      <c r="B45" s="12" t="s">
        <v>48</v>
      </c>
      <c r="C45" s="13">
        <v>0.18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0.18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84.51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84.51</v>
      </c>
    </row>
    <row r="48" spans="1:10" x14ac:dyDescent="0.45">
      <c r="A48" s="12"/>
      <c r="B48" s="12" t="s">
        <v>52</v>
      </c>
      <c r="C48" s="13">
        <v>82.39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82.39</v>
      </c>
    </row>
    <row r="49" spans="1:10" x14ac:dyDescent="0.45">
      <c r="A49" s="12" t="s">
        <v>134</v>
      </c>
      <c r="B49" s="12" t="s">
        <v>53</v>
      </c>
      <c r="C49" s="13">
        <v>249.24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249.24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B7CE6DDC-6A89-424E-8B6A-34FDDCED6691}">
      <formula1>"PA,MA"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F4C0-C240-492C-B906-8BD942E916DC}">
  <sheetPr codeName="Sheet18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6.06640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8.08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8.08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8.08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8.08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UP0023-eff</v>
      </c>
      <c r="P3" s="4" t="str">
        <f ca="1">IF(LEFT(O3,11)="SHAPE-THIN ",MID(O3,12,50)&amp;"-"&amp;O2,O3&amp;"-"&amp;O2)</f>
        <v>UP0023-eff-MA</v>
      </c>
    </row>
    <row r="4" spans="1:16" x14ac:dyDescent="0.45">
      <c r="A4" s="12" t="s">
        <v>97</v>
      </c>
      <c r="B4" s="12" t="s">
        <v>7</v>
      </c>
      <c r="C4" s="13">
        <v>2.2400000000000002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2.2400000000000002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8.08</v>
      </c>
    </row>
    <row r="5" spans="1:16" x14ac:dyDescent="0.45">
      <c r="A5" s="12"/>
      <c r="B5" s="12" t="s">
        <v>8</v>
      </c>
      <c r="C5" s="13">
        <v>0.89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0.89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142.4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95.85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4.2</v>
      </c>
    </row>
    <row r="8" spans="1:16" x14ac:dyDescent="0.45">
      <c r="A8" s="12" t="s">
        <v>100</v>
      </c>
      <c r="B8" s="12" t="s">
        <v>12</v>
      </c>
      <c r="C8" s="13">
        <v>142.4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142.4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3.44</v>
      </c>
    </row>
    <row r="9" spans="1:16" x14ac:dyDescent="0.45">
      <c r="A9" s="12"/>
      <c r="B9" s="12" t="s">
        <v>14</v>
      </c>
      <c r="C9" s="13">
        <v>95.85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95.85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23.73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14.85</v>
      </c>
    </row>
    <row r="11" spans="1:16" x14ac:dyDescent="0.45">
      <c r="A11" s="12" t="s">
        <v>104</v>
      </c>
      <c r="B11" s="12" t="s">
        <v>17</v>
      </c>
      <c r="C11" s="13">
        <v>238.25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238.25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0.09</v>
      </c>
    </row>
    <row r="12" spans="1:16" x14ac:dyDescent="0.45">
      <c r="A12" s="12"/>
      <c r="B12" s="12" t="s">
        <v>18</v>
      </c>
      <c r="C12" s="13">
        <v>828.85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828.85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8.5500000000000007</v>
      </c>
    </row>
    <row r="13" spans="1:16" x14ac:dyDescent="0.45">
      <c r="A13" s="12" t="s">
        <v>105</v>
      </c>
      <c r="B13" s="12" t="s">
        <v>20</v>
      </c>
      <c r="C13" s="13">
        <v>4.2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4.2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5229.22</v>
      </c>
    </row>
    <row r="14" spans="1:16" x14ac:dyDescent="0.45">
      <c r="A14" s="12"/>
      <c r="B14" s="12" t="s">
        <v>21</v>
      </c>
      <c r="C14" s="13">
        <v>3.44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3.44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5.43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5.43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10.130000000000001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10.130000000000001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2.5099999999999998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2.5099999999999998</v>
      </c>
    </row>
    <row r="18" spans="1:10" x14ac:dyDescent="0.45">
      <c r="A18" s="12" t="s">
        <v>111</v>
      </c>
      <c r="B18" s="12" t="s">
        <v>23</v>
      </c>
      <c r="C18" s="15">
        <v>6.3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6.3</v>
      </c>
    </row>
    <row r="19" spans="1:10" x14ac:dyDescent="0.45">
      <c r="A19" s="12" t="s">
        <v>112</v>
      </c>
      <c r="B19" s="12" t="s">
        <v>25</v>
      </c>
      <c r="C19" s="13">
        <v>81.33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81.33</v>
      </c>
    </row>
    <row r="20" spans="1:10" x14ac:dyDescent="0.45">
      <c r="A20" s="12" t="s">
        <v>113</v>
      </c>
      <c r="B20" s="12" t="s">
        <v>26</v>
      </c>
      <c r="C20" s="13">
        <v>0.09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0.09</v>
      </c>
    </row>
    <row r="21" spans="1:10" x14ac:dyDescent="0.45">
      <c r="A21" s="12" t="s">
        <v>115</v>
      </c>
      <c r="B21" s="12" t="s">
        <v>27</v>
      </c>
      <c r="C21" s="13">
        <v>101.87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101.87</v>
      </c>
    </row>
    <row r="22" spans="1:10" x14ac:dyDescent="0.45">
      <c r="A22" s="12" t="s">
        <v>116</v>
      </c>
      <c r="B22" s="12" t="s">
        <v>28</v>
      </c>
      <c r="C22" s="13">
        <v>8.5500000000000007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8.5500000000000007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8.5500000000000007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8.5500000000000007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15641.86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15641.86</v>
      </c>
    </row>
    <row r="27" spans="1:10" x14ac:dyDescent="0.45">
      <c r="A27" s="12"/>
      <c r="B27" s="12" t="s">
        <v>119</v>
      </c>
      <c r="C27" s="13">
        <v>5229.22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5229.22</v>
      </c>
    </row>
    <row r="28" spans="1:10" x14ac:dyDescent="0.45">
      <c r="A28" s="12" t="s">
        <v>120</v>
      </c>
      <c r="B28" s="12" t="s">
        <v>121</v>
      </c>
      <c r="C28" s="16">
        <v>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3.0000000000000001E-3</v>
      </c>
    </row>
    <row r="29" spans="1:10" x14ac:dyDescent="0.45">
      <c r="A29" s="12" t="s">
        <v>122</v>
      </c>
      <c r="B29" s="12" t="s">
        <v>33</v>
      </c>
      <c r="C29" s="13">
        <v>23.73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23.73</v>
      </c>
    </row>
    <row r="30" spans="1:10" x14ac:dyDescent="0.45">
      <c r="A30" s="12"/>
      <c r="B30" s="12" t="s">
        <v>35</v>
      </c>
      <c r="C30" s="13">
        <v>-23.73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-23.73</v>
      </c>
    </row>
    <row r="31" spans="1:10" x14ac:dyDescent="0.45">
      <c r="A31" s="12"/>
      <c r="B31" s="12" t="s">
        <v>36</v>
      </c>
      <c r="C31" s="13">
        <v>23.23</v>
      </c>
      <c r="D31" s="12" t="s">
        <v>34</v>
      </c>
      <c r="E31" s="12" t="s">
        <v>230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23.23</v>
      </c>
    </row>
    <row r="32" spans="1:10" x14ac:dyDescent="0.45">
      <c r="A32" s="12"/>
      <c r="B32" s="12" t="s">
        <v>37</v>
      </c>
      <c r="C32" s="13">
        <v>-14.85</v>
      </c>
      <c r="D32" s="12" t="s">
        <v>34</v>
      </c>
      <c r="E32" s="12" t="s">
        <v>231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-14.85</v>
      </c>
    </row>
    <row r="33" spans="1:10" x14ac:dyDescent="0.45">
      <c r="A33" s="12" t="s">
        <v>123</v>
      </c>
      <c r="B33" s="12" t="s">
        <v>124</v>
      </c>
      <c r="C33" s="13">
        <v>110.19</v>
      </c>
      <c r="D33" s="12" t="s">
        <v>13</v>
      </c>
      <c r="E33" s="12" t="s">
        <v>225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110.19</v>
      </c>
    </row>
    <row r="34" spans="1:10" x14ac:dyDescent="0.45">
      <c r="A34" s="12"/>
      <c r="B34" s="12" t="s">
        <v>125</v>
      </c>
      <c r="C34" s="13">
        <v>-110.1</v>
      </c>
      <c r="D34" s="12" t="s">
        <v>13</v>
      </c>
      <c r="E34" s="12" t="s">
        <v>226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-110.1</v>
      </c>
    </row>
    <row r="35" spans="1:10" x14ac:dyDescent="0.45">
      <c r="A35" s="12" t="s">
        <v>126</v>
      </c>
      <c r="B35" s="12" t="s">
        <v>38</v>
      </c>
      <c r="C35" s="13">
        <v>0.4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0.4</v>
      </c>
    </row>
    <row r="36" spans="1:10" x14ac:dyDescent="0.45">
      <c r="A36" s="12" t="s">
        <v>127</v>
      </c>
      <c r="B36" s="12" t="s">
        <v>139</v>
      </c>
      <c r="C36" s="13">
        <v>-0.76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-0.76</v>
      </c>
    </row>
    <row r="37" spans="1:10" x14ac:dyDescent="0.45">
      <c r="A37" s="12"/>
      <c r="B37" s="12" t="s">
        <v>140</v>
      </c>
      <c r="C37" s="13">
        <v>-17.86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-17.86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11.044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11.044</v>
      </c>
    </row>
    <row r="40" spans="1:10" x14ac:dyDescent="0.45">
      <c r="A40" s="12"/>
      <c r="B40" s="12" t="s">
        <v>43</v>
      </c>
      <c r="C40" s="16">
        <v>8.8079999999999998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8.8079999999999998</v>
      </c>
    </row>
    <row r="41" spans="1:10" x14ac:dyDescent="0.45">
      <c r="A41" s="12" t="s">
        <v>130</v>
      </c>
      <c r="B41" s="12" t="s">
        <v>44</v>
      </c>
      <c r="C41" s="13">
        <v>31.11</v>
      </c>
      <c r="D41" s="12" t="s">
        <v>34</v>
      </c>
      <c r="E41" s="12" t="s">
        <v>155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31.11</v>
      </c>
    </row>
    <row r="42" spans="1:10" x14ac:dyDescent="0.45">
      <c r="A42" s="12"/>
      <c r="B42" s="12" t="s">
        <v>45</v>
      </c>
      <c r="C42" s="13">
        <v>24.81</v>
      </c>
      <c r="D42" s="12" t="s">
        <v>34</v>
      </c>
      <c r="E42" s="12" t="s">
        <v>227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24.81</v>
      </c>
    </row>
    <row r="43" spans="1:10" x14ac:dyDescent="0.45">
      <c r="A43" s="12" t="s">
        <v>131</v>
      </c>
      <c r="B43" s="12" t="s">
        <v>46</v>
      </c>
      <c r="C43" s="13">
        <v>4.74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4.74</v>
      </c>
    </row>
    <row r="44" spans="1:10" x14ac:dyDescent="0.45">
      <c r="A44" s="12"/>
      <c r="B44" s="12" t="s">
        <v>47</v>
      </c>
      <c r="C44" s="13">
        <v>4.62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4.62</v>
      </c>
    </row>
    <row r="45" spans="1:10" x14ac:dyDescent="0.45">
      <c r="A45" s="12" t="s">
        <v>132</v>
      </c>
      <c r="B45" s="12" t="s">
        <v>48</v>
      </c>
      <c r="C45" s="13">
        <v>0.18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0.18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97.18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97.18</v>
      </c>
    </row>
    <row r="48" spans="1:10" x14ac:dyDescent="0.45">
      <c r="A48" s="12"/>
      <c r="B48" s="12" t="s">
        <v>52</v>
      </c>
      <c r="C48" s="13">
        <v>94.75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94.75</v>
      </c>
    </row>
    <row r="49" spans="1:10" x14ac:dyDescent="0.45">
      <c r="A49" s="12" t="s">
        <v>134</v>
      </c>
      <c r="B49" s="12" t="s">
        <v>53</v>
      </c>
      <c r="C49" s="13">
        <v>286.62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286.62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disablePrompts="1" count="1">
    <dataValidation type="list" allowBlank="1" showInputMessage="1" showErrorMessage="1" sqref="O2 O65526 O131062 O196598 O262134 O327670 O393206 O458742 O524278 O589814 O655350 O720886 O786422 O851958 O917494 O983030" xr:uid="{9807A13A-5851-4907-A9EA-EA369E2D2C52}">
      <formula1>"PA,MA"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3246-3DE1-4B2B-AEF8-3C3EA0113224}">
  <sheetPr codeName="Sheet19">
    <tabColor theme="9"/>
  </sheetPr>
  <dimension ref="A1:P250"/>
  <sheetViews>
    <sheetView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6.06640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8.7799999999999994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8.7799999999999994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8.7799999999999994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8.7799999999999994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UP0024-eff</v>
      </c>
      <c r="P3" s="4" t="str">
        <f ca="1">IF(LEFT(O3,11)="SHAPE-THIN ",MID(O3,12,50)&amp;"-"&amp;O2,O3&amp;"-"&amp;O2)</f>
        <v>UP0024-eff-MA</v>
      </c>
    </row>
    <row r="4" spans="1:16" x14ac:dyDescent="0.45">
      <c r="A4" s="12" t="s">
        <v>97</v>
      </c>
      <c r="B4" s="12" t="s">
        <v>7</v>
      </c>
      <c r="C4" s="13">
        <v>2.44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2.44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8.7799999999999994</v>
      </c>
    </row>
    <row r="5" spans="1:16" x14ac:dyDescent="0.45">
      <c r="A5" s="12"/>
      <c r="B5" s="12" t="s">
        <v>8</v>
      </c>
      <c r="C5" s="13">
        <v>0.97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0.97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154.02000000000001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104.19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4.1900000000000004</v>
      </c>
    </row>
    <row r="8" spans="1:16" x14ac:dyDescent="0.45">
      <c r="A8" s="12" t="s">
        <v>100</v>
      </c>
      <c r="B8" s="12" t="s">
        <v>12</v>
      </c>
      <c r="C8" s="13">
        <v>154.02000000000001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154.02000000000001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3.44</v>
      </c>
    </row>
    <row r="9" spans="1:16" x14ac:dyDescent="0.45">
      <c r="A9" s="12"/>
      <c r="B9" s="12" t="s">
        <v>14</v>
      </c>
      <c r="C9" s="13">
        <v>104.19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104.19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25.67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16.12</v>
      </c>
    </row>
    <row r="11" spans="1:16" x14ac:dyDescent="0.45">
      <c r="A11" s="12" t="s">
        <v>104</v>
      </c>
      <c r="B11" s="12" t="s">
        <v>17</v>
      </c>
      <c r="C11" s="13">
        <v>258.20999999999998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258.20999999999998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0.12</v>
      </c>
    </row>
    <row r="12" spans="1:16" x14ac:dyDescent="0.45">
      <c r="A12" s="12"/>
      <c r="B12" s="12" t="s">
        <v>18</v>
      </c>
      <c r="C12" s="13">
        <v>899.48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899.48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8.5500000000000007</v>
      </c>
    </row>
    <row r="13" spans="1:16" x14ac:dyDescent="0.45">
      <c r="A13" s="12" t="s">
        <v>105</v>
      </c>
      <c r="B13" s="12" t="s">
        <v>20</v>
      </c>
      <c r="C13" s="13">
        <v>4.1900000000000004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4.1900000000000004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5657.65</v>
      </c>
    </row>
    <row r="14" spans="1:16" x14ac:dyDescent="0.45">
      <c r="A14" s="12"/>
      <c r="B14" s="12" t="s">
        <v>21</v>
      </c>
      <c r="C14" s="13">
        <v>3.44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3.44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5.42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5.42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10.119999999999999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10.119999999999999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2.5099999999999998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2.5099999999999998</v>
      </c>
    </row>
    <row r="18" spans="1:10" x14ac:dyDescent="0.45">
      <c r="A18" s="12" t="s">
        <v>111</v>
      </c>
      <c r="B18" s="12" t="s">
        <v>23</v>
      </c>
      <c r="C18" s="15">
        <v>6.9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6.9</v>
      </c>
    </row>
    <row r="19" spans="1:10" x14ac:dyDescent="0.45">
      <c r="A19" s="12" t="s">
        <v>112</v>
      </c>
      <c r="B19" s="12" t="s">
        <v>25</v>
      </c>
      <c r="C19" s="13">
        <v>81.52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81.52</v>
      </c>
    </row>
    <row r="20" spans="1:10" x14ac:dyDescent="0.45">
      <c r="A20" s="12" t="s">
        <v>113</v>
      </c>
      <c r="B20" s="12" t="s">
        <v>26</v>
      </c>
      <c r="C20" s="13">
        <v>0.12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0.12</v>
      </c>
    </row>
    <row r="21" spans="1:10" x14ac:dyDescent="0.45">
      <c r="A21" s="12" t="s">
        <v>115</v>
      </c>
      <c r="B21" s="12" t="s">
        <v>27</v>
      </c>
      <c r="C21" s="13">
        <v>110.36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110.36</v>
      </c>
    </row>
    <row r="22" spans="1:10" x14ac:dyDescent="0.45">
      <c r="A22" s="12" t="s">
        <v>116</v>
      </c>
      <c r="B22" s="12" t="s">
        <v>28</v>
      </c>
      <c r="C22" s="13">
        <v>8.5500000000000007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8.5500000000000007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8.5500000000000007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8.5500000000000007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16908.54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16908.54</v>
      </c>
    </row>
    <row r="27" spans="1:10" x14ac:dyDescent="0.45">
      <c r="A27" s="12"/>
      <c r="B27" s="12" t="s">
        <v>119</v>
      </c>
      <c r="C27" s="13">
        <v>5657.65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5657.65</v>
      </c>
    </row>
    <row r="28" spans="1:10" x14ac:dyDescent="0.45">
      <c r="A28" s="12" t="s">
        <v>120</v>
      </c>
      <c r="B28" s="12" t="s">
        <v>121</v>
      </c>
      <c r="C28" s="16">
        <v>2E-3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2E-3</v>
      </c>
    </row>
    <row r="29" spans="1:10" x14ac:dyDescent="0.45">
      <c r="A29" s="12" t="s">
        <v>122</v>
      </c>
      <c r="B29" s="12" t="s">
        <v>33</v>
      </c>
      <c r="C29" s="13">
        <v>25.67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25.67</v>
      </c>
    </row>
    <row r="30" spans="1:10" x14ac:dyDescent="0.45">
      <c r="A30" s="12"/>
      <c r="B30" s="12" t="s">
        <v>35</v>
      </c>
      <c r="C30" s="13">
        <v>-25.67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-25.67</v>
      </c>
    </row>
    <row r="31" spans="1:10" x14ac:dyDescent="0.45">
      <c r="A31" s="12"/>
      <c r="B31" s="12" t="s">
        <v>36</v>
      </c>
      <c r="C31" s="13">
        <v>25.18</v>
      </c>
      <c r="D31" s="12" t="s">
        <v>34</v>
      </c>
      <c r="E31" s="12" t="s">
        <v>228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25.18</v>
      </c>
    </row>
    <row r="32" spans="1:10" x14ac:dyDescent="0.45">
      <c r="A32" s="12"/>
      <c r="B32" s="12" t="s">
        <v>37</v>
      </c>
      <c r="C32" s="13">
        <v>-16.12</v>
      </c>
      <c r="D32" s="12" t="s">
        <v>34</v>
      </c>
      <c r="E32" s="12" t="s">
        <v>229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-16.12</v>
      </c>
    </row>
    <row r="33" spans="1:10" x14ac:dyDescent="0.45">
      <c r="A33" s="12" t="s">
        <v>123</v>
      </c>
      <c r="B33" s="12" t="s">
        <v>124</v>
      </c>
      <c r="C33" s="13">
        <v>119.64</v>
      </c>
      <c r="D33" s="12" t="s">
        <v>13</v>
      </c>
      <c r="E33" s="12" t="s">
        <v>161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119.64</v>
      </c>
    </row>
    <row r="34" spans="1:10" x14ac:dyDescent="0.45">
      <c r="A34" s="12"/>
      <c r="B34" s="12" t="s">
        <v>125</v>
      </c>
      <c r="C34" s="13">
        <v>-119.58</v>
      </c>
      <c r="D34" s="12" t="s">
        <v>13</v>
      </c>
      <c r="E34" s="12" t="s">
        <v>162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-119.58</v>
      </c>
    </row>
    <row r="35" spans="1:10" x14ac:dyDescent="0.45">
      <c r="A35" s="12" t="s">
        <v>126</v>
      </c>
      <c r="B35" s="12" t="s">
        <v>38</v>
      </c>
      <c r="C35" s="13">
        <v>0.46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0.46</v>
      </c>
    </row>
    <row r="36" spans="1:10" x14ac:dyDescent="0.45">
      <c r="A36" s="12" t="s">
        <v>127</v>
      </c>
      <c r="B36" s="12" t="s">
        <v>139</v>
      </c>
      <c r="C36" s="13">
        <v>-0.75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-0.75</v>
      </c>
    </row>
    <row r="37" spans="1:10" x14ac:dyDescent="0.45">
      <c r="A37" s="12"/>
      <c r="B37" s="12" t="s">
        <v>140</v>
      </c>
      <c r="C37" s="13">
        <v>-17.84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-17.84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11.975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11.975</v>
      </c>
    </row>
    <row r="40" spans="1:10" x14ac:dyDescent="0.45">
      <c r="A40" s="12"/>
      <c r="B40" s="12" t="s">
        <v>43</v>
      </c>
      <c r="C40" s="16">
        <v>9.57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9.57</v>
      </c>
    </row>
    <row r="41" spans="1:10" x14ac:dyDescent="0.45">
      <c r="A41" s="12" t="s">
        <v>130</v>
      </c>
      <c r="B41" s="12" t="s">
        <v>44</v>
      </c>
      <c r="C41" s="13">
        <v>33.729999999999997</v>
      </c>
      <c r="D41" s="12" t="s">
        <v>34</v>
      </c>
      <c r="E41" s="12" t="s">
        <v>155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33.729999999999997</v>
      </c>
    </row>
    <row r="42" spans="1:10" x14ac:dyDescent="0.45">
      <c r="A42" s="12"/>
      <c r="B42" s="12" t="s">
        <v>45</v>
      </c>
      <c r="C42" s="13">
        <v>26.96</v>
      </c>
      <c r="D42" s="12" t="s">
        <v>34</v>
      </c>
      <c r="E42" s="12" t="s">
        <v>227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26.96</v>
      </c>
    </row>
    <row r="43" spans="1:10" x14ac:dyDescent="0.45">
      <c r="A43" s="12" t="s">
        <v>131</v>
      </c>
      <c r="B43" s="12" t="s">
        <v>46</v>
      </c>
      <c r="C43" s="13">
        <v>5.15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5.15</v>
      </c>
    </row>
    <row r="44" spans="1:10" x14ac:dyDescent="0.45">
      <c r="A44" s="12"/>
      <c r="B44" s="12" t="s">
        <v>47</v>
      </c>
      <c r="C44" s="13">
        <v>5.0199999999999996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5.0199999999999996</v>
      </c>
    </row>
    <row r="45" spans="1:10" x14ac:dyDescent="0.45">
      <c r="A45" s="12" t="s">
        <v>132</v>
      </c>
      <c r="B45" s="12" t="s">
        <v>48</v>
      </c>
      <c r="C45" s="13">
        <v>0.17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0.17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105.63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105.63</v>
      </c>
    </row>
    <row r="48" spans="1:10" x14ac:dyDescent="0.45">
      <c r="A48" s="12"/>
      <c r="B48" s="12" t="s">
        <v>52</v>
      </c>
      <c r="C48" s="13">
        <v>102.99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102.99</v>
      </c>
    </row>
    <row r="49" spans="1:10" x14ac:dyDescent="0.45">
      <c r="A49" s="12" t="s">
        <v>134</v>
      </c>
      <c r="B49" s="12" t="s">
        <v>53</v>
      </c>
      <c r="C49" s="13">
        <v>311.55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311.55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5155EF52-6176-440B-9E7B-526F1D12434A}">
      <formula1>"PA,MA"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82D4-AE1A-4C99-9B80-5FCF29FBE602}">
  <sheetPr codeName="Sheet21">
    <tabColor theme="9"/>
  </sheetPr>
  <dimension ref="A1:P250"/>
  <sheetViews>
    <sheetView workbookViewId="0">
      <selection activeCell="L22" sqref="L22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6.06640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10.54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10.54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10.54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10.54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UP0025-eff</v>
      </c>
      <c r="P3" s="4" t="str">
        <f ca="1">IF(LEFT(O3,11)="SHAPE-THIN ",MID(O3,12,50)&amp;"-"&amp;O2,O3&amp;"-"&amp;O2)</f>
        <v>UP0025-eff-MA</v>
      </c>
    </row>
    <row r="4" spans="1:16" x14ac:dyDescent="0.45">
      <c r="A4" s="12" t="s">
        <v>97</v>
      </c>
      <c r="B4" s="12" t="s">
        <v>7</v>
      </c>
      <c r="C4" s="13">
        <v>2.92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2.92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10.54</v>
      </c>
    </row>
    <row r="5" spans="1:16" x14ac:dyDescent="0.45">
      <c r="A5" s="12"/>
      <c r="B5" s="12" t="s">
        <v>8</v>
      </c>
      <c r="C5" s="13">
        <v>1.1499999999999999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1.1499999999999999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182.56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125.04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4.16</v>
      </c>
    </row>
    <row r="8" spans="1:16" x14ac:dyDescent="0.45">
      <c r="A8" s="12" t="s">
        <v>100</v>
      </c>
      <c r="B8" s="12" t="s">
        <v>12</v>
      </c>
      <c r="C8" s="13">
        <v>182.56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182.56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3.45</v>
      </c>
    </row>
    <row r="9" spans="1:16" x14ac:dyDescent="0.45">
      <c r="A9" s="12"/>
      <c r="B9" s="12" t="s">
        <v>14</v>
      </c>
      <c r="C9" s="13">
        <v>125.04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125.04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30.43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19.29</v>
      </c>
    </row>
    <row r="11" spans="1:16" x14ac:dyDescent="0.45">
      <c r="A11" s="12" t="s">
        <v>104</v>
      </c>
      <c r="B11" s="12" t="s">
        <v>17</v>
      </c>
      <c r="C11" s="13">
        <v>307.61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307.61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0.19</v>
      </c>
    </row>
    <row r="12" spans="1:16" x14ac:dyDescent="0.45">
      <c r="A12" s="12"/>
      <c r="B12" s="12" t="s">
        <v>18</v>
      </c>
      <c r="C12" s="13">
        <v>1074.99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1074.99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8.5299999999999994</v>
      </c>
    </row>
    <row r="13" spans="1:16" x14ac:dyDescent="0.45">
      <c r="A13" s="12" t="s">
        <v>105</v>
      </c>
      <c r="B13" s="12" t="s">
        <v>20</v>
      </c>
      <c r="C13" s="13">
        <v>4.16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4.16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6709.67</v>
      </c>
    </row>
    <row r="14" spans="1:16" x14ac:dyDescent="0.45">
      <c r="A14" s="12"/>
      <c r="B14" s="12" t="s">
        <v>21</v>
      </c>
      <c r="C14" s="13">
        <v>3.45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3.45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5.4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5.4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10.1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10.1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2.5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2.5</v>
      </c>
    </row>
    <row r="18" spans="1:10" x14ac:dyDescent="0.45">
      <c r="A18" s="12" t="s">
        <v>111</v>
      </c>
      <c r="B18" s="12" t="s">
        <v>23</v>
      </c>
      <c r="C18" s="15">
        <v>8.3000000000000007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8.3000000000000007</v>
      </c>
    </row>
    <row r="19" spans="1:10" x14ac:dyDescent="0.45">
      <c r="A19" s="12" t="s">
        <v>112</v>
      </c>
      <c r="B19" s="12" t="s">
        <v>25</v>
      </c>
      <c r="C19" s="13">
        <v>82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82</v>
      </c>
    </row>
    <row r="20" spans="1:10" x14ac:dyDescent="0.45">
      <c r="A20" s="12" t="s">
        <v>113</v>
      </c>
      <c r="B20" s="12" t="s">
        <v>26</v>
      </c>
      <c r="C20" s="13">
        <v>0.19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0.19</v>
      </c>
    </row>
    <row r="21" spans="1:10" x14ac:dyDescent="0.45">
      <c r="A21" s="12" t="s">
        <v>115</v>
      </c>
      <c r="B21" s="12" t="s">
        <v>27</v>
      </c>
      <c r="C21" s="13">
        <v>129.12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129.12</v>
      </c>
    </row>
    <row r="22" spans="1:10" x14ac:dyDescent="0.45">
      <c r="A22" s="12" t="s">
        <v>116</v>
      </c>
      <c r="B22" s="12" t="s">
        <v>28</v>
      </c>
      <c r="C22" s="13">
        <v>8.5299999999999994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8.5299999999999994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8.5299999999999994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8.5299999999999994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20009.43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20009.43</v>
      </c>
    </row>
    <row r="27" spans="1:10" x14ac:dyDescent="0.45">
      <c r="A27" s="12"/>
      <c r="B27" s="12" t="s">
        <v>119</v>
      </c>
      <c r="C27" s="13">
        <v>6709.67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6709.67</v>
      </c>
    </row>
    <row r="28" spans="1:10" x14ac:dyDescent="0.45">
      <c r="A28" s="12" t="s">
        <v>120</v>
      </c>
      <c r="B28" s="12" t="s">
        <v>121</v>
      </c>
      <c r="C28" s="16">
        <v>-3.0000000000000001E-3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-3.0000000000000001E-3</v>
      </c>
    </row>
    <row r="29" spans="1:10" x14ac:dyDescent="0.45">
      <c r="A29" s="12" t="s">
        <v>122</v>
      </c>
      <c r="B29" s="12" t="s">
        <v>33</v>
      </c>
      <c r="C29" s="13">
        <v>30.43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30.43</v>
      </c>
    </row>
    <row r="30" spans="1:10" x14ac:dyDescent="0.45">
      <c r="A30" s="12"/>
      <c r="B30" s="12" t="s">
        <v>35</v>
      </c>
      <c r="C30" s="13">
        <v>-30.43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-30.43</v>
      </c>
    </row>
    <row r="31" spans="1:10" x14ac:dyDescent="0.45">
      <c r="A31" s="12"/>
      <c r="B31" s="12" t="s">
        <v>36</v>
      </c>
      <c r="C31" s="13">
        <v>30</v>
      </c>
      <c r="D31" s="12" t="s">
        <v>34</v>
      </c>
      <c r="E31" s="12" t="s">
        <v>232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30</v>
      </c>
    </row>
    <row r="32" spans="1:10" x14ac:dyDescent="0.45">
      <c r="A32" s="12"/>
      <c r="B32" s="12" t="s">
        <v>37</v>
      </c>
      <c r="C32" s="13">
        <v>-19.29</v>
      </c>
      <c r="D32" s="12" t="s">
        <v>34</v>
      </c>
      <c r="E32" s="12" t="s">
        <v>233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-19.29</v>
      </c>
    </row>
    <row r="33" spans="1:10" x14ac:dyDescent="0.45">
      <c r="A33" s="12" t="s">
        <v>123</v>
      </c>
      <c r="B33" s="12" t="s">
        <v>124</v>
      </c>
      <c r="C33" s="13">
        <v>143.11000000000001</v>
      </c>
      <c r="D33" s="12" t="s">
        <v>13</v>
      </c>
      <c r="E33" s="12" t="s">
        <v>234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143.11000000000001</v>
      </c>
    </row>
    <row r="34" spans="1:10" x14ac:dyDescent="0.45">
      <c r="A34" s="12"/>
      <c r="B34" s="12" t="s">
        <v>125</v>
      </c>
      <c r="C34" s="13">
        <v>-143.24</v>
      </c>
      <c r="D34" s="12" t="s">
        <v>13</v>
      </c>
      <c r="E34" s="12" t="s">
        <v>235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-143.24</v>
      </c>
    </row>
    <row r="35" spans="1:10" x14ac:dyDescent="0.45">
      <c r="A35" s="12" t="s">
        <v>126</v>
      </c>
      <c r="B35" s="12" t="s">
        <v>38</v>
      </c>
      <c r="C35" s="13">
        <v>0.64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0.64</v>
      </c>
    </row>
    <row r="36" spans="1:10" x14ac:dyDescent="0.45">
      <c r="A36" s="12" t="s">
        <v>127</v>
      </c>
      <c r="B36" s="12" t="s">
        <v>139</v>
      </c>
      <c r="C36" s="13">
        <v>-0.74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-0.74</v>
      </c>
    </row>
    <row r="37" spans="1:10" x14ac:dyDescent="0.45">
      <c r="A37" s="12"/>
      <c r="B37" s="12" t="s">
        <v>140</v>
      </c>
      <c r="C37" s="13">
        <v>-17.809999999999999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-17.809999999999999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14.281000000000001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14.281000000000001</v>
      </c>
    </row>
    <row r="40" spans="1:10" x14ac:dyDescent="0.45">
      <c r="A40" s="12"/>
      <c r="B40" s="12" t="s">
        <v>43</v>
      </c>
      <c r="C40" s="16">
        <v>11.472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11.472</v>
      </c>
    </row>
    <row r="41" spans="1:10" x14ac:dyDescent="0.45">
      <c r="A41" s="12" t="s">
        <v>130</v>
      </c>
      <c r="B41" s="12" t="s">
        <v>44</v>
      </c>
      <c r="C41" s="13">
        <v>40.229999999999997</v>
      </c>
      <c r="D41" s="12" t="s">
        <v>34</v>
      </c>
      <c r="E41" s="12" t="s">
        <v>156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40.229999999999997</v>
      </c>
    </row>
    <row r="42" spans="1:10" x14ac:dyDescent="0.45">
      <c r="A42" s="12"/>
      <c r="B42" s="12" t="s">
        <v>45</v>
      </c>
      <c r="C42" s="13">
        <v>32.32</v>
      </c>
      <c r="D42" s="12" t="s">
        <v>34</v>
      </c>
      <c r="E42" s="12" t="s">
        <v>227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32.32</v>
      </c>
    </row>
    <row r="43" spans="1:10" x14ac:dyDescent="0.45">
      <c r="A43" s="12" t="s">
        <v>131</v>
      </c>
      <c r="B43" s="12" t="s">
        <v>46</v>
      </c>
      <c r="C43" s="13">
        <v>6.18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6.18</v>
      </c>
    </row>
    <row r="44" spans="1:10" x14ac:dyDescent="0.45">
      <c r="A44" s="12"/>
      <c r="B44" s="12" t="s">
        <v>47</v>
      </c>
      <c r="C44" s="13">
        <v>6.03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6.03</v>
      </c>
    </row>
    <row r="45" spans="1:10" x14ac:dyDescent="0.45">
      <c r="A45" s="12" t="s">
        <v>132</v>
      </c>
      <c r="B45" s="12" t="s">
        <v>48</v>
      </c>
      <c r="C45" s="13">
        <v>0.17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0.17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126.76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126.76</v>
      </c>
    </row>
    <row r="48" spans="1:10" x14ac:dyDescent="0.45">
      <c r="A48" s="12"/>
      <c r="B48" s="12" t="s">
        <v>52</v>
      </c>
      <c r="C48" s="13">
        <v>123.58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123.58</v>
      </c>
    </row>
    <row r="49" spans="1:10" x14ac:dyDescent="0.45">
      <c r="A49" s="12" t="s">
        <v>134</v>
      </c>
      <c r="B49" s="12" t="s">
        <v>53</v>
      </c>
      <c r="C49" s="13">
        <v>373.86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373.86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6D81B12B-2425-4DAA-99E2-49516FAEFA86}">
      <formula1>"PA,MA"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3060-B8E3-41DD-B7CE-F93D07936857}">
  <sheetPr codeName="Sheet23">
    <tabColor theme="9"/>
  </sheetPr>
  <dimension ref="A1:P250"/>
  <sheetViews>
    <sheetView tabSelected="1" workbookViewId="0">
      <selection sqref="A1:E1048576"/>
    </sheetView>
  </sheetViews>
  <sheetFormatPr defaultRowHeight="14.25" outlineLevelCol="1" x14ac:dyDescent="0.45"/>
  <cols>
    <col min="1" max="1" width="19.06640625" style="18" bestFit="1" customWidth="1"/>
    <col min="2" max="2" width="5.46484375" style="18" bestFit="1" customWidth="1"/>
    <col min="3" max="3" width="6.06640625" style="19" bestFit="1" customWidth="1"/>
    <col min="4" max="4" width="3.59765625" style="18" bestFit="1" customWidth="1"/>
    <col min="5" max="5" width="24.1328125" style="18" bestFit="1" customWidth="1"/>
    <col min="6" max="6" width="1.73046875" style="1" bestFit="1" customWidth="1"/>
    <col min="7" max="7" width="24.265625" style="1" bestFit="1" customWidth="1" outlineLevel="1"/>
    <col min="8" max="8" width="29.73046875" style="1" bestFit="1" customWidth="1" outlineLevel="1"/>
    <col min="9" max="9" width="6" style="1" bestFit="1" customWidth="1" outlineLevel="1"/>
    <col min="10" max="10" width="7.3984375" style="1" bestFit="1" customWidth="1" outlineLevel="1"/>
    <col min="11" max="11" width="1.73046875" style="1" bestFit="1" customWidth="1"/>
    <col min="12" max="12" width="23.86328125" style="1" bestFit="1" customWidth="1"/>
    <col min="13" max="14" width="24.59765625" style="1" bestFit="1" customWidth="1" outlineLevel="1"/>
    <col min="15" max="15" width="24.59765625" style="1" bestFit="1" customWidth="1"/>
    <col min="16" max="16" width="10.3984375" style="1" bestFit="1" customWidth="1"/>
  </cols>
  <sheetData>
    <row r="1" spans="1:1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72</v>
      </c>
      <c r="K1" s="1" t="s">
        <v>72</v>
      </c>
    </row>
    <row r="2" spans="1:16" x14ac:dyDescent="0.45">
      <c r="A2" s="12" t="s">
        <v>94</v>
      </c>
      <c r="B2" s="12" t="s">
        <v>5</v>
      </c>
      <c r="C2" s="13">
        <v>12.29</v>
      </c>
      <c r="D2" s="12" t="s">
        <v>6</v>
      </c>
      <c r="E2" s="12"/>
      <c r="G2" s="4" t="str">
        <f>IF(A2="",G1,A2)</f>
        <v>Cross-sectional area</v>
      </c>
      <c r="H2" s="4" t="str">
        <f>A2&amp;" - "&amp;B2</f>
        <v>Cross-sectional area - A</v>
      </c>
      <c r="I2" s="5" t="str">
        <f>B2</f>
        <v>A</v>
      </c>
      <c r="J2" s="5">
        <f t="shared" ref="J2:J65" si="0">C2</f>
        <v>12.29</v>
      </c>
      <c r="O2" s="20" t="s">
        <v>58</v>
      </c>
      <c r="P2" s="20"/>
    </row>
    <row r="3" spans="1:16" x14ac:dyDescent="0.45">
      <c r="A3" s="12"/>
      <c r="B3" s="12" t="s">
        <v>95</v>
      </c>
      <c r="C3" s="13">
        <v>12.29</v>
      </c>
      <c r="D3" s="12" t="s">
        <v>6</v>
      </c>
      <c r="E3" s="12" t="s">
        <v>96</v>
      </c>
      <c r="G3" s="4" t="str">
        <f>IF(A3="",G2,A3)</f>
        <v>Cross-sectional area</v>
      </c>
      <c r="H3" s="4" t="str">
        <f>G3&amp;" - "&amp;B3</f>
        <v>Cross-sectional area - Ageom</v>
      </c>
      <c r="I3" s="5" t="str">
        <f>B3</f>
        <v>Ageom</v>
      </c>
      <c r="J3" s="5">
        <f t="shared" si="0"/>
        <v>12.29</v>
      </c>
      <c r="L3" s="4" t="s">
        <v>59</v>
      </c>
      <c r="M3" s="4" t="s">
        <v>60</v>
      </c>
      <c r="N3" s="4" t="s">
        <v>58</v>
      </c>
      <c r="O3" s="6" t="str">
        <f ca="1">MID(CELL("filename",A1),FIND("]",CELL("filename",A1))+1,255)</f>
        <v>UP0026-eff</v>
      </c>
      <c r="P3" s="4" t="str">
        <f ca="1">IF(LEFT(O3,11)="SHAPE-THIN ",MID(O3,12,50)&amp;"-"&amp;O2,O3&amp;"-"&amp;O2)</f>
        <v>UP0026-eff-MA</v>
      </c>
    </row>
    <row r="4" spans="1:16" x14ac:dyDescent="0.45">
      <c r="A4" s="12" t="s">
        <v>97</v>
      </c>
      <c r="B4" s="12" t="s">
        <v>7</v>
      </c>
      <c r="C4" s="13">
        <v>3.41</v>
      </c>
      <c r="D4" s="12" t="s">
        <v>6</v>
      </c>
      <c r="E4" s="12"/>
      <c r="G4" s="4" t="str">
        <f>IF(A4="",G3,A4)</f>
        <v>Shear areas</v>
      </c>
      <c r="H4" s="4" t="str">
        <f t="shared" ref="H4:H67" si="1">G4&amp;" - "&amp;B4</f>
        <v>Shear areas - Ay</v>
      </c>
      <c r="I4" s="5" t="str">
        <f t="shared" ref="I4:J67" si="2">B4</f>
        <v>Ay</v>
      </c>
      <c r="J4" s="5">
        <f t="shared" si="0"/>
        <v>3.41</v>
      </c>
      <c r="L4" s="4" t="s">
        <v>80</v>
      </c>
      <c r="M4" s="4" t="s">
        <v>61</v>
      </c>
      <c r="N4" s="4" t="s">
        <v>61</v>
      </c>
      <c r="O4" s="8" t="str">
        <f>IF($P$2="PA",M4,N4)</f>
        <v>Cross-sectional area - A</v>
      </c>
      <c r="P4" s="8">
        <f>VLOOKUP(O4,$H$2:$K$250,3,FALSE)</f>
        <v>12.29</v>
      </c>
    </row>
    <row r="5" spans="1:16" x14ac:dyDescent="0.45">
      <c r="A5" s="12"/>
      <c r="B5" s="12" t="s">
        <v>8</v>
      </c>
      <c r="C5" s="13">
        <v>1.32</v>
      </c>
      <c r="D5" s="12" t="s">
        <v>6</v>
      </c>
      <c r="E5" s="12"/>
      <c r="G5" s="4" t="str">
        <f t="shared" ref="G5:G68" si="3">IF(A5="",G4,A5)</f>
        <v>Shear areas</v>
      </c>
      <c r="H5" s="4" t="str">
        <f t="shared" si="1"/>
        <v>Shear areas - Az</v>
      </c>
      <c r="I5" s="5" t="str">
        <f t="shared" si="2"/>
        <v>Az</v>
      </c>
      <c r="J5" s="5">
        <f t="shared" si="0"/>
        <v>1.32</v>
      </c>
      <c r="L5" s="4" t="s">
        <v>81</v>
      </c>
      <c r="M5" s="4" t="s">
        <v>62</v>
      </c>
      <c r="N5" s="4" t="s">
        <v>63</v>
      </c>
      <c r="O5" s="8" t="str">
        <f t="shared" ref="O5:O13" si="4">IF($P$2="PA",M5,N5)</f>
        <v>Moments of inertia - Iy</v>
      </c>
      <c r="P5" s="8">
        <f>VLOOKUP(O5,$H$2:$K$250,3,FALSE)</f>
        <v>210.37</v>
      </c>
    </row>
    <row r="6" spans="1:16" x14ac:dyDescent="0.45">
      <c r="A6" s="12" t="s">
        <v>98</v>
      </c>
      <c r="B6" s="12" t="s">
        <v>9</v>
      </c>
      <c r="C6" s="13">
        <v>0</v>
      </c>
      <c r="D6" s="12" t="s">
        <v>10</v>
      </c>
      <c r="E6" s="12" t="s">
        <v>99</v>
      </c>
      <c r="G6" s="4" t="str">
        <f t="shared" si="3"/>
        <v>Centroid position</v>
      </c>
      <c r="H6" s="4" t="str">
        <f t="shared" si="1"/>
        <v>Centroid position - yC,0</v>
      </c>
      <c r="I6" s="5" t="str">
        <f t="shared" si="2"/>
        <v>yC,0</v>
      </c>
      <c r="J6" s="5">
        <f t="shared" si="0"/>
        <v>0</v>
      </c>
      <c r="L6" s="4" t="s">
        <v>82</v>
      </c>
      <c r="M6" s="4" t="s">
        <v>64</v>
      </c>
      <c r="N6" s="4" t="s">
        <v>65</v>
      </c>
      <c r="O6" s="8" t="str">
        <f t="shared" si="4"/>
        <v>Moments of inertia - Iz</v>
      </c>
      <c r="P6" s="8">
        <f>VLOOKUP(O6,$H$2:$K$250,3,FALSE)</f>
        <v>145.9</v>
      </c>
    </row>
    <row r="7" spans="1:16" x14ac:dyDescent="0.45">
      <c r="A7" s="12"/>
      <c r="B7" s="12" t="s">
        <v>11</v>
      </c>
      <c r="C7" s="13">
        <v>0</v>
      </c>
      <c r="D7" s="12" t="s">
        <v>10</v>
      </c>
      <c r="E7" s="12"/>
      <c r="G7" s="4" t="str">
        <f t="shared" si="3"/>
        <v>Centroid position</v>
      </c>
      <c r="H7" s="4" t="str">
        <f t="shared" si="1"/>
        <v>Centroid position - zC,0</v>
      </c>
      <c r="I7" s="5" t="str">
        <f t="shared" si="2"/>
        <v>zC,0</v>
      </c>
      <c r="J7" s="5">
        <f t="shared" si="0"/>
        <v>0</v>
      </c>
      <c r="L7" s="4" t="s">
        <v>83</v>
      </c>
      <c r="M7" s="4" t="s">
        <v>66</v>
      </c>
      <c r="N7" s="4" t="s">
        <v>67</v>
      </c>
      <c r="O7" s="9" t="str">
        <f t="shared" si="4"/>
        <v>Radii of gyration - iy</v>
      </c>
      <c r="P7" s="9">
        <f>VLOOKUP(O7,$H$2:$K$250,3,FALSE)</f>
        <v>4.1399999999999997</v>
      </c>
    </row>
    <row r="8" spans="1:16" x14ac:dyDescent="0.45">
      <c r="A8" s="12" t="s">
        <v>100</v>
      </c>
      <c r="B8" s="12" t="s">
        <v>12</v>
      </c>
      <c r="C8" s="13">
        <v>210.37</v>
      </c>
      <c r="D8" s="12" t="s">
        <v>13</v>
      </c>
      <c r="E8" s="12" t="s">
        <v>101</v>
      </c>
      <c r="G8" s="4" t="str">
        <f t="shared" si="3"/>
        <v>Moments of inertia</v>
      </c>
      <c r="H8" s="4" t="str">
        <f t="shared" si="1"/>
        <v>Moments of inertia - Iy</v>
      </c>
      <c r="I8" s="5" t="str">
        <f t="shared" si="2"/>
        <v>Iy</v>
      </c>
      <c r="J8" s="5">
        <f t="shared" si="0"/>
        <v>210.37</v>
      </c>
      <c r="L8" s="4" t="s">
        <v>84</v>
      </c>
      <c r="M8" s="4" t="s">
        <v>68</v>
      </c>
      <c r="N8" s="4" t="s">
        <v>69</v>
      </c>
      <c r="O8" s="9" t="str">
        <f t="shared" si="4"/>
        <v>Radii of gyration - iz</v>
      </c>
      <c r="P8" s="9">
        <f>VLOOKUP(O8,$H$2:$K$250,3,FALSE)</f>
        <v>3.45</v>
      </c>
    </row>
    <row r="9" spans="1:16" x14ac:dyDescent="0.45">
      <c r="A9" s="12"/>
      <c r="B9" s="12" t="s">
        <v>14</v>
      </c>
      <c r="C9" s="13">
        <v>145.9</v>
      </c>
      <c r="D9" s="12" t="s">
        <v>13</v>
      </c>
      <c r="E9" s="12"/>
      <c r="G9" s="4" t="str">
        <f t="shared" si="3"/>
        <v>Moments of inertia</v>
      </c>
      <c r="H9" s="4" t="str">
        <f t="shared" si="1"/>
        <v>Moments of inertia - Iz</v>
      </c>
      <c r="I9" s="5" t="str">
        <f t="shared" si="2"/>
        <v>Iz</v>
      </c>
      <c r="J9" s="5">
        <f t="shared" si="0"/>
        <v>145.9</v>
      </c>
      <c r="L9" s="4" t="s">
        <v>85</v>
      </c>
      <c r="M9" s="4" t="s">
        <v>73</v>
      </c>
      <c r="N9" s="4" t="s">
        <v>74</v>
      </c>
      <c r="O9" s="8" t="str">
        <f t="shared" si="4"/>
        <v>Section moduli - Sy,min</v>
      </c>
      <c r="P9" s="8">
        <f>MIN(ABS(VLOOKUP(O9,$H$2:$K$250,3,FALSE)),ABS(VLOOKUP(IF(O2="MA","Section moduli - Sy,max","Section moduli - Su,max"),$H$2:$K$250,3,FALSE)))</f>
        <v>35.06</v>
      </c>
    </row>
    <row r="10" spans="1:16" x14ac:dyDescent="0.45">
      <c r="A10" s="12" t="s">
        <v>102</v>
      </c>
      <c r="B10" s="14" t="s">
        <v>15</v>
      </c>
      <c r="C10" s="13">
        <v>0</v>
      </c>
      <c r="D10" s="12" t="s">
        <v>16</v>
      </c>
      <c r="E10" s="12" t="s">
        <v>103</v>
      </c>
      <c r="G10" s="4" t="str">
        <f t="shared" si="3"/>
        <v>Inclination of principal axes</v>
      </c>
      <c r="H10" s="4" t="str">
        <f t="shared" si="1"/>
        <v>Inclination of principal axes - a</v>
      </c>
      <c r="I10" s="5" t="str">
        <f t="shared" si="2"/>
        <v>a</v>
      </c>
      <c r="J10" s="5">
        <f t="shared" si="0"/>
        <v>0</v>
      </c>
      <c r="L10" s="4" t="s">
        <v>86</v>
      </c>
      <c r="M10" s="4" t="s">
        <v>75</v>
      </c>
      <c r="N10" s="4" t="s">
        <v>76</v>
      </c>
      <c r="O10" s="8" t="str">
        <f t="shared" si="4"/>
        <v>Section moduli - Sz,min</v>
      </c>
      <c r="P10" s="8">
        <f>MIN(ABS(VLOOKUP(O10,$H$2:$K$250,3,FALSE)),ABS(VLOOKUP(IF(O2="MA","Section moduli - Sz,max","Section moduli - Sv,max"),$H$2:$K$250,3,FALSE)))</f>
        <v>22.45</v>
      </c>
    </row>
    <row r="11" spans="1:16" x14ac:dyDescent="0.45">
      <c r="A11" s="12" t="s">
        <v>104</v>
      </c>
      <c r="B11" s="12" t="s">
        <v>17</v>
      </c>
      <c r="C11" s="13">
        <v>356.28</v>
      </c>
      <c r="D11" s="12" t="s">
        <v>13</v>
      </c>
      <c r="E11" s="12"/>
      <c r="G11" s="4" t="str">
        <f t="shared" si="3"/>
        <v>Polar moments of inertia</v>
      </c>
      <c r="H11" s="4" t="str">
        <f t="shared" si="1"/>
        <v>Polar moments of inertia - Ip</v>
      </c>
      <c r="I11" s="5" t="str">
        <f t="shared" si="2"/>
        <v>Ip</v>
      </c>
      <c r="J11" s="5">
        <f t="shared" si="0"/>
        <v>356.28</v>
      </c>
      <c r="L11" s="4" t="s">
        <v>78</v>
      </c>
      <c r="M11" s="4" t="s">
        <v>77</v>
      </c>
      <c r="N11" s="4" t="s">
        <v>77</v>
      </c>
      <c r="O11" s="8" t="str">
        <f>IF($P$2="PA",M11,N11)</f>
        <v>Torsional constant - J</v>
      </c>
      <c r="P11" s="8">
        <f>VLOOKUP(O11,$H$2:$K$250,3,FALSE)</f>
        <v>0.3</v>
      </c>
    </row>
    <row r="12" spans="1:16" x14ac:dyDescent="0.45">
      <c r="A12" s="12"/>
      <c r="B12" s="12" t="s">
        <v>18</v>
      </c>
      <c r="C12" s="13">
        <v>1248.94</v>
      </c>
      <c r="D12" s="12" t="s">
        <v>13</v>
      </c>
      <c r="E12" s="12" t="s">
        <v>19</v>
      </c>
      <c r="G12" s="4" t="str">
        <f t="shared" si="3"/>
        <v>Polar moments of inertia</v>
      </c>
      <c r="H12" s="4" t="str">
        <f t="shared" si="1"/>
        <v>Polar moments of inertia - Ip,M</v>
      </c>
      <c r="I12" s="5" t="str">
        <f t="shared" si="2"/>
        <v>Ip,M</v>
      </c>
      <c r="J12" s="5">
        <f t="shared" si="0"/>
        <v>1248.94</v>
      </c>
      <c r="L12" s="4" t="s">
        <v>87</v>
      </c>
      <c r="M12" s="4" t="s">
        <v>70</v>
      </c>
      <c r="N12" s="4" t="s">
        <v>70</v>
      </c>
      <c r="O12" s="8" t="str">
        <f>IF($P$2="PA",M12,N12)</f>
        <v>Location of the shear center - yM</v>
      </c>
      <c r="P12" s="8">
        <f>ABS(VLOOKUP(O12,$H$2:$K$250,3,FALSE))</f>
        <v>8.52</v>
      </c>
    </row>
    <row r="13" spans="1:16" x14ac:dyDescent="0.45">
      <c r="A13" s="12" t="s">
        <v>105</v>
      </c>
      <c r="B13" s="12" t="s">
        <v>20</v>
      </c>
      <c r="C13" s="13">
        <v>4.1399999999999997</v>
      </c>
      <c r="D13" s="12" t="s">
        <v>10</v>
      </c>
      <c r="E13" s="12" t="s">
        <v>106</v>
      </c>
      <c r="G13" s="4" t="str">
        <f t="shared" si="3"/>
        <v>Radii of gyration</v>
      </c>
      <c r="H13" s="4" t="str">
        <f t="shared" si="1"/>
        <v>Radii of gyration - iy</v>
      </c>
      <c r="I13" s="5" t="str">
        <f t="shared" si="2"/>
        <v>iy</v>
      </c>
      <c r="J13" s="5">
        <f t="shared" si="0"/>
        <v>4.1399999999999997</v>
      </c>
      <c r="L13" s="4" t="s">
        <v>88</v>
      </c>
      <c r="M13" s="4" t="s">
        <v>136</v>
      </c>
      <c r="N13" s="4" t="s">
        <v>136</v>
      </c>
      <c r="O13" s="8" t="str">
        <f t="shared" si="4"/>
        <v>Warping Constants - I@v,M</v>
      </c>
      <c r="P13" s="8">
        <f>VLOOKUP(O13,$H$2:$K$250,3,FALSE)</f>
        <v>7734.1</v>
      </c>
    </row>
    <row r="14" spans="1:16" x14ac:dyDescent="0.45">
      <c r="A14" s="12"/>
      <c r="B14" s="12" t="s">
        <v>21</v>
      </c>
      <c r="C14" s="13">
        <v>3.45</v>
      </c>
      <c r="D14" s="12" t="s">
        <v>10</v>
      </c>
      <c r="E14" s="12"/>
      <c r="G14" s="4" t="str">
        <f t="shared" si="3"/>
        <v>Radii of gyration</v>
      </c>
      <c r="H14" s="4" t="str">
        <f t="shared" si="1"/>
        <v>Radii of gyration - iz</v>
      </c>
      <c r="I14" s="5" t="str">
        <f t="shared" si="2"/>
        <v>iz</v>
      </c>
      <c r="J14" s="5">
        <f t="shared" si="0"/>
        <v>3.45</v>
      </c>
      <c r="L14" s="4" t="s">
        <v>89</v>
      </c>
      <c r="M14" s="4">
        <v>23.5</v>
      </c>
      <c r="N14" s="4">
        <f>M14</f>
        <v>23.5</v>
      </c>
      <c r="O14" s="10">
        <v>35</v>
      </c>
      <c r="P14" s="8">
        <f>IFERROR(ROUNDUP(IF(O14="",IF((VLOOKUP("Mpl,y,d",$J$4:$K$250,2,FALSE)*1.1*100)/VLOOKUP("Wpl,y",$J$4:$K$250,2,FALSE)&lt;23.5,23.5,(VLOOKUP("Mpl,y,d",$J$4:$K$250,2,FALSE)*1.1*100)/VLOOKUP("Wpl,y",$J$4:$K$250,2,FALSE)),O14),1),23.5)</f>
        <v>35</v>
      </c>
    </row>
    <row r="15" spans="1:16" x14ac:dyDescent="0.45">
      <c r="A15" s="12" t="s">
        <v>107</v>
      </c>
      <c r="B15" s="12" t="s">
        <v>22</v>
      </c>
      <c r="C15" s="13">
        <v>5.38</v>
      </c>
      <c r="D15" s="12" t="s">
        <v>10</v>
      </c>
      <c r="E15" s="12"/>
      <c r="G15" s="4" t="str">
        <f t="shared" si="3"/>
        <v>Polar radii of gyration</v>
      </c>
      <c r="H15" s="4" t="str">
        <f t="shared" si="1"/>
        <v>Polar radii of gyration - ip</v>
      </c>
      <c r="I15" s="5" t="str">
        <f t="shared" si="2"/>
        <v>ip</v>
      </c>
      <c r="J15" s="5">
        <f t="shared" si="0"/>
        <v>5.38</v>
      </c>
      <c r="L15" s="4" t="s">
        <v>56</v>
      </c>
      <c r="M15" s="4" t="s">
        <v>57</v>
      </c>
      <c r="N15" s="4" t="s">
        <v>57</v>
      </c>
      <c r="O15" s="4" t="s">
        <v>57</v>
      </c>
      <c r="P15" s="4" t="s">
        <v>57</v>
      </c>
    </row>
    <row r="16" spans="1:16" x14ac:dyDescent="0.45">
      <c r="A16" s="12"/>
      <c r="B16" s="12" t="s">
        <v>108</v>
      </c>
      <c r="C16" s="13">
        <v>10.08</v>
      </c>
      <c r="D16" s="12" t="s">
        <v>10</v>
      </c>
      <c r="E16" s="12" t="s">
        <v>19</v>
      </c>
      <c r="G16" s="4" t="str">
        <f t="shared" si="3"/>
        <v>Polar radii of gyration</v>
      </c>
      <c r="H16" s="4" t="str">
        <f t="shared" si="1"/>
        <v>Polar radii of gyration - rp,M</v>
      </c>
      <c r="I16" s="5" t="str">
        <f t="shared" si="2"/>
        <v>rp,M</v>
      </c>
      <c r="J16" s="5">
        <f t="shared" si="0"/>
        <v>10.08</v>
      </c>
      <c r="L16" s="4" t="s">
        <v>90</v>
      </c>
      <c r="M16" s="4" t="s">
        <v>71</v>
      </c>
      <c r="N16" s="4" t="s">
        <v>71</v>
      </c>
      <c r="O16" s="8" t="str">
        <f>IF($P$2="PA",M16,N16)</f>
        <v>Inclination of principal axes - a</v>
      </c>
      <c r="P16" s="8">
        <f>VLOOKUP(O16,$H$2:$K$250,3,FALSE)</f>
        <v>0</v>
      </c>
    </row>
    <row r="17" spans="1:10" x14ac:dyDescent="0.45">
      <c r="A17" s="12" t="s">
        <v>109</v>
      </c>
      <c r="B17" s="12" t="s">
        <v>110</v>
      </c>
      <c r="C17" s="13">
        <v>2.4900000000000002</v>
      </c>
      <c r="D17" s="12" t="s">
        <v>10</v>
      </c>
      <c r="E17" s="12"/>
      <c r="G17" s="4" t="str">
        <f t="shared" si="3"/>
        <v>Warping radius of gyration</v>
      </c>
      <c r="H17" s="4" t="str">
        <f t="shared" si="1"/>
        <v>Warping radius of gyration - rw,M</v>
      </c>
      <c r="I17" s="5" t="str">
        <f t="shared" si="2"/>
        <v>rw,M</v>
      </c>
      <c r="J17" s="5">
        <f t="shared" si="0"/>
        <v>2.4900000000000002</v>
      </c>
    </row>
    <row r="18" spans="1:10" x14ac:dyDescent="0.45">
      <c r="A18" s="12" t="s">
        <v>111</v>
      </c>
      <c r="B18" s="12" t="s">
        <v>23</v>
      </c>
      <c r="C18" s="15">
        <v>9.6</v>
      </c>
      <c r="D18" s="12" t="s">
        <v>24</v>
      </c>
      <c r="E18" s="12"/>
      <c r="G18" s="4" t="str">
        <f t="shared" si="3"/>
        <v>Cross-section weight</v>
      </c>
      <c r="H18" s="4" t="str">
        <f t="shared" si="1"/>
        <v>Cross-section weight - G</v>
      </c>
      <c r="I18" s="5" t="str">
        <f t="shared" si="2"/>
        <v>G</v>
      </c>
      <c r="J18" s="5">
        <f t="shared" si="0"/>
        <v>9.6</v>
      </c>
    </row>
    <row r="19" spans="1:10" x14ac:dyDescent="0.45">
      <c r="A19" s="12" t="s">
        <v>112</v>
      </c>
      <c r="B19" s="12" t="s">
        <v>25</v>
      </c>
      <c r="C19" s="13">
        <v>82.49</v>
      </c>
      <c r="D19" s="12" t="s">
        <v>10</v>
      </c>
      <c r="E19" s="12" t="s">
        <v>91</v>
      </c>
      <c r="G19" s="4" t="str">
        <f t="shared" si="3"/>
        <v>Cross-section perimeter</v>
      </c>
      <c r="H19" s="4" t="str">
        <f t="shared" si="1"/>
        <v>Cross-section perimeter - U</v>
      </c>
      <c r="I19" s="5" t="str">
        <f t="shared" si="2"/>
        <v>U</v>
      </c>
      <c r="J19" s="5">
        <f t="shared" si="0"/>
        <v>82.49</v>
      </c>
    </row>
    <row r="20" spans="1:10" x14ac:dyDescent="0.45">
      <c r="A20" s="12" t="s">
        <v>113</v>
      </c>
      <c r="B20" s="12" t="s">
        <v>26</v>
      </c>
      <c r="C20" s="13">
        <v>0.3</v>
      </c>
      <c r="D20" s="12" t="s">
        <v>13</v>
      </c>
      <c r="E20" s="12" t="s">
        <v>114</v>
      </c>
      <c r="G20" s="4" t="str">
        <f t="shared" si="3"/>
        <v>Torsional constant</v>
      </c>
      <c r="H20" s="4" t="str">
        <f t="shared" si="1"/>
        <v>Torsional constant - J</v>
      </c>
      <c r="I20" s="5" t="str">
        <f t="shared" si="2"/>
        <v>J</v>
      </c>
      <c r="J20" s="5">
        <f t="shared" si="0"/>
        <v>0.3</v>
      </c>
    </row>
    <row r="21" spans="1:10" x14ac:dyDescent="0.45">
      <c r="A21" s="12" t="s">
        <v>115</v>
      </c>
      <c r="B21" s="12" t="s">
        <v>27</v>
      </c>
      <c r="C21" s="13">
        <v>147.69</v>
      </c>
      <c r="D21" s="12" t="s">
        <v>13</v>
      </c>
      <c r="E21" s="12"/>
      <c r="G21" s="4" t="str">
        <f t="shared" si="3"/>
        <v>Secondary torsional constant</v>
      </c>
      <c r="H21" s="4" t="str">
        <f t="shared" si="1"/>
        <v>Secondary torsional constant - Js</v>
      </c>
      <c r="I21" s="5" t="str">
        <f t="shared" si="2"/>
        <v>Js</v>
      </c>
      <c r="J21" s="5">
        <f t="shared" si="0"/>
        <v>147.69</v>
      </c>
    </row>
    <row r="22" spans="1:10" x14ac:dyDescent="0.45">
      <c r="A22" s="12" t="s">
        <v>116</v>
      </c>
      <c r="B22" s="12" t="s">
        <v>28</v>
      </c>
      <c r="C22" s="13">
        <v>8.52</v>
      </c>
      <c r="D22" s="12" t="s">
        <v>10</v>
      </c>
      <c r="E22" s="12" t="s">
        <v>99</v>
      </c>
      <c r="G22" s="4" t="str">
        <f t="shared" si="3"/>
        <v>Location of the shear center</v>
      </c>
      <c r="H22" s="4" t="str">
        <f t="shared" si="1"/>
        <v>Location of the shear center - yM,0</v>
      </c>
      <c r="I22" s="5" t="str">
        <f t="shared" si="2"/>
        <v>yM,0</v>
      </c>
      <c r="J22" s="5">
        <f t="shared" si="0"/>
        <v>8.52</v>
      </c>
    </row>
    <row r="23" spans="1:10" x14ac:dyDescent="0.45">
      <c r="A23" s="12"/>
      <c r="B23" s="12" t="s">
        <v>29</v>
      </c>
      <c r="C23" s="13">
        <v>0</v>
      </c>
      <c r="D23" s="12" t="s">
        <v>10</v>
      </c>
      <c r="E23" s="12"/>
      <c r="G23" s="4" t="str">
        <f t="shared" si="3"/>
        <v>Location of the shear center</v>
      </c>
      <c r="H23" s="4" t="str">
        <f t="shared" si="1"/>
        <v>Location of the shear center - zM,0</v>
      </c>
      <c r="I23" s="5" t="str">
        <f t="shared" si="2"/>
        <v>zM,0</v>
      </c>
      <c r="J23" s="5">
        <f t="shared" si="0"/>
        <v>0</v>
      </c>
    </row>
    <row r="24" spans="1:10" x14ac:dyDescent="0.45">
      <c r="A24" s="12"/>
      <c r="B24" s="12" t="s">
        <v>30</v>
      </c>
      <c r="C24" s="13">
        <v>8.52</v>
      </c>
      <c r="D24" s="12" t="s">
        <v>10</v>
      </c>
      <c r="E24" s="12" t="s">
        <v>106</v>
      </c>
      <c r="G24" s="4" t="str">
        <f t="shared" si="3"/>
        <v>Location of the shear center</v>
      </c>
      <c r="H24" s="4" t="str">
        <f t="shared" si="1"/>
        <v>Location of the shear center - yM</v>
      </c>
      <c r="I24" s="5" t="str">
        <f t="shared" si="2"/>
        <v>yM</v>
      </c>
      <c r="J24" s="5">
        <f t="shared" si="0"/>
        <v>8.52</v>
      </c>
    </row>
    <row r="25" spans="1:10" x14ac:dyDescent="0.45">
      <c r="A25" s="12"/>
      <c r="B25" s="12" t="s">
        <v>31</v>
      </c>
      <c r="C25" s="13">
        <v>0</v>
      </c>
      <c r="D25" s="12" t="s">
        <v>10</v>
      </c>
      <c r="E25" s="12"/>
      <c r="G25" s="4" t="str">
        <f t="shared" si="3"/>
        <v>Location of the shear center</v>
      </c>
      <c r="H25" s="4" t="str">
        <f t="shared" si="1"/>
        <v>Location of the shear center - zM</v>
      </c>
      <c r="I25" s="5" t="str">
        <f t="shared" si="2"/>
        <v>zM</v>
      </c>
      <c r="J25" s="5">
        <f t="shared" si="0"/>
        <v>0</v>
      </c>
    </row>
    <row r="26" spans="1:10" x14ac:dyDescent="0.45">
      <c r="A26" s="12" t="s">
        <v>117</v>
      </c>
      <c r="B26" s="12" t="s">
        <v>118</v>
      </c>
      <c r="C26" s="13">
        <v>23016.04</v>
      </c>
      <c r="D26" s="12" t="s">
        <v>32</v>
      </c>
      <c r="E26" s="12" t="s">
        <v>106</v>
      </c>
      <c r="G26" s="4" t="str">
        <f t="shared" si="3"/>
        <v>Warping constants</v>
      </c>
      <c r="H26" s="4" t="str">
        <f t="shared" si="1"/>
        <v>Warping constants - I@v,C</v>
      </c>
      <c r="I26" s="5" t="str">
        <f t="shared" si="2"/>
        <v>I@v,C</v>
      </c>
      <c r="J26" s="5">
        <f t="shared" si="0"/>
        <v>23016.04</v>
      </c>
    </row>
    <row r="27" spans="1:10" x14ac:dyDescent="0.45">
      <c r="A27" s="12"/>
      <c r="B27" s="12" t="s">
        <v>119</v>
      </c>
      <c r="C27" s="13">
        <v>7734.1</v>
      </c>
      <c r="D27" s="12" t="s">
        <v>32</v>
      </c>
      <c r="E27" s="12" t="s">
        <v>19</v>
      </c>
      <c r="G27" s="4" t="str">
        <f t="shared" si="3"/>
        <v>Warping constants</v>
      </c>
      <c r="H27" s="4" t="str">
        <f t="shared" si="1"/>
        <v>Warping constants - I@v,M</v>
      </c>
      <c r="I27" s="5" t="str">
        <f t="shared" si="2"/>
        <v>I@v,M</v>
      </c>
      <c r="J27" s="5">
        <f t="shared" si="0"/>
        <v>7734.1</v>
      </c>
    </row>
    <row r="28" spans="1:10" x14ac:dyDescent="0.45">
      <c r="A28" s="12" t="s">
        <v>120</v>
      </c>
      <c r="B28" s="12" t="s">
        <v>121</v>
      </c>
      <c r="C28" s="16">
        <v>3.0000000000000001E-3</v>
      </c>
      <c r="D28" s="12"/>
      <c r="E28" s="12"/>
      <c r="G28" s="4" t="str">
        <f t="shared" si="3"/>
        <v>Auxiliary value for warp rotation</v>
      </c>
      <c r="H28" s="4" t="str">
        <f t="shared" si="1"/>
        <v>Auxiliary value for warp rotation - r@v,M</v>
      </c>
      <c r="I28" s="5" t="str">
        <f t="shared" si="2"/>
        <v>r@v,M</v>
      </c>
      <c r="J28" s="5">
        <f t="shared" si="0"/>
        <v>3.0000000000000001E-3</v>
      </c>
    </row>
    <row r="29" spans="1:10" x14ac:dyDescent="0.45">
      <c r="A29" s="12" t="s">
        <v>122</v>
      </c>
      <c r="B29" s="12" t="s">
        <v>33</v>
      </c>
      <c r="C29" s="13">
        <v>35.06</v>
      </c>
      <c r="D29" s="12" t="s">
        <v>34</v>
      </c>
      <c r="E29" s="12" t="s">
        <v>137</v>
      </c>
      <c r="G29" s="4" t="str">
        <f t="shared" si="3"/>
        <v>Section moduli</v>
      </c>
      <c r="H29" s="4" t="str">
        <f t="shared" si="1"/>
        <v>Section moduli - Sy,max</v>
      </c>
      <c r="I29" s="5" t="str">
        <f t="shared" si="2"/>
        <v>Sy,max</v>
      </c>
      <c r="J29" s="5">
        <f t="shared" si="0"/>
        <v>35.06</v>
      </c>
    </row>
    <row r="30" spans="1:10" x14ac:dyDescent="0.45">
      <c r="A30" s="12"/>
      <c r="B30" s="12" t="s">
        <v>35</v>
      </c>
      <c r="C30" s="13">
        <v>-35.06</v>
      </c>
      <c r="D30" s="12" t="s">
        <v>34</v>
      </c>
      <c r="E30" s="12" t="s">
        <v>138</v>
      </c>
      <c r="G30" s="4" t="str">
        <f t="shared" si="3"/>
        <v>Section moduli</v>
      </c>
      <c r="H30" s="4" t="str">
        <f t="shared" si="1"/>
        <v>Section moduli - Sy,min</v>
      </c>
      <c r="I30" s="5" t="str">
        <f t="shared" si="2"/>
        <v>Sy,min</v>
      </c>
      <c r="J30" s="5">
        <f t="shared" si="0"/>
        <v>-35.06</v>
      </c>
    </row>
    <row r="31" spans="1:10" x14ac:dyDescent="0.45">
      <c r="A31" s="12"/>
      <c r="B31" s="12" t="s">
        <v>36</v>
      </c>
      <c r="C31" s="13">
        <v>34.74</v>
      </c>
      <c r="D31" s="12" t="s">
        <v>34</v>
      </c>
      <c r="E31" s="12" t="s">
        <v>236</v>
      </c>
      <c r="G31" s="4" t="str">
        <f t="shared" si="3"/>
        <v>Section moduli</v>
      </c>
      <c r="H31" s="4" t="str">
        <f t="shared" si="1"/>
        <v>Section moduli - Sz,max</v>
      </c>
      <c r="I31" s="5" t="str">
        <f t="shared" si="2"/>
        <v>Sz,max</v>
      </c>
      <c r="J31" s="5">
        <f t="shared" si="0"/>
        <v>34.74</v>
      </c>
    </row>
    <row r="32" spans="1:10" x14ac:dyDescent="0.45">
      <c r="A32" s="12"/>
      <c r="B32" s="12" t="s">
        <v>37</v>
      </c>
      <c r="C32" s="13">
        <v>-22.45</v>
      </c>
      <c r="D32" s="12" t="s">
        <v>34</v>
      </c>
      <c r="E32" s="12" t="s">
        <v>237</v>
      </c>
      <c r="G32" s="4" t="str">
        <f t="shared" si="3"/>
        <v>Section moduli</v>
      </c>
      <c r="H32" s="4" t="str">
        <f t="shared" si="1"/>
        <v>Section moduli - Sz,min</v>
      </c>
      <c r="I32" s="5" t="str">
        <f t="shared" si="2"/>
        <v>Sz,min</v>
      </c>
      <c r="J32" s="5">
        <f t="shared" si="0"/>
        <v>-22.45</v>
      </c>
    </row>
    <row r="33" spans="1:10" x14ac:dyDescent="0.45">
      <c r="A33" s="12" t="s">
        <v>123</v>
      </c>
      <c r="B33" s="12" t="s">
        <v>124</v>
      </c>
      <c r="C33" s="13">
        <v>166.66</v>
      </c>
      <c r="D33" s="12" t="s">
        <v>13</v>
      </c>
      <c r="E33" s="12" t="s">
        <v>225</v>
      </c>
      <c r="G33" s="4" t="str">
        <f t="shared" si="3"/>
        <v>Warping section moduli</v>
      </c>
      <c r="H33" s="4" t="str">
        <f t="shared" si="1"/>
        <v>Warping section moduli - S@v,M,max</v>
      </c>
      <c r="I33" s="5" t="str">
        <f t="shared" si="2"/>
        <v>S@v,M,max</v>
      </c>
      <c r="J33" s="5">
        <f t="shared" si="0"/>
        <v>166.66</v>
      </c>
    </row>
    <row r="34" spans="1:10" x14ac:dyDescent="0.45">
      <c r="A34" s="12"/>
      <c r="B34" s="12" t="s">
        <v>125</v>
      </c>
      <c r="C34" s="13">
        <v>-166.53</v>
      </c>
      <c r="D34" s="12" t="s">
        <v>13</v>
      </c>
      <c r="E34" s="12" t="s">
        <v>226</v>
      </c>
      <c r="G34" s="4" t="str">
        <f t="shared" si="3"/>
        <v>Warping section moduli</v>
      </c>
      <c r="H34" s="4" t="str">
        <f t="shared" si="1"/>
        <v>Warping section moduli - S@v,M,min</v>
      </c>
      <c r="I34" s="5" t="str">
        <f t="shared" si="2"/>
        <v>S@v,M,min</v>
      </c>
      <c r="J34" s="5">
        <f t="shared" si="0"/>
        <v>-166.53</v>
      </c>
    </row>
    <row r="35" spans="1:10" x14ac:dyDescent="0.45">
      <c r="A35" s="12" t="s">
        <v>126</v>
      </c>
      <c r="B35" s="12" t="s">
        <v>38</v>
      </c>
      <c r="C35" s="13">
        <v>0.84</v>
      </c>
      <c r="D35" s="12" t="s">
        <v>34</v>
      </c>
      <c r="E35" s="12"/>
      <c r="G35" s="4" t="str">
        <f t="shared" si="3"/>
        <v>Torsional section modulus</v>
      </c>
      <c r="H35" s="4" t="str">
        <f t="shared" si="1"/>
        <v>Torsional section modulus - St</v>
      </c>
      <c r="I35" s="5" t="str">
        <f t="shared" si="2"/>
        <v>St</v>
      </c>
      <c r="J35" s="5">
        <f t="shared" si="0"/>
        <v>0.84</v>
      </c>
    </row>
    <row r="36" spans="1:10" x14ac:dyDescent="0.45">
      <c r="A36" s="12" t="s">
        <v>127</v>
      </c>
      <c r="B36" s="12" t="s">
        <v>139</v>
      </c>
      <c r="C36" s="13">
        <v>-0.73</v>
      </c>
      <c r="D36" s="12" t="s">
        <v>10</v>
      </c>
      <c r="E36" s="12"/>
      <c r="G36" s="4" t="str">
        <f t="shared" si="3"/>
        <v>Stability parameters</v>
      </c>
      <c r="H36" s="4" t="str">
        <f t="shared" si="1"/>
        <v>Stability parameters - rv</v>
      </c>
      <c r="I36" s="5" t="str">
        <f t="shared" si="2"/>
        <v>rv</v>
      </c>
      <c r="J36" s="5">
        <f t="shared" si="0"/>
        <v>-0.73</v>
      </c>
    </row>
    <row r="37" spans="1:10" x14ac:dyDescent="0.45">
      <c r="A37" s="12"/>
      <c r="B37" s="12" t="s">
        <v>140</v>
      </c>
      <c r="C37" s="13">
        <v>-17.77</v>
      </c>
      <c r="D37" s="12" t="s">
        <v>10</v>
      </c>
      <c r="E37" s="12"/>
      <c r="G37" s="4" t="str">
        <f t="shared" si="3"/>
        <v>Stability parameters</v>
      </c>
      <c r="H37" s="4" t="str">
        <f t="shared" si="1"/>
        <v>Stability parameters - rM,u</v>
      </c>
      <c r="I37" s="5" t="str">
        <f t="shared" si="2"/>
        <v>rM,u</v>
      </c>
      <c r="J37" s="5">
        <f t="shared" si="0"/>
        <v>-17.77</v>
      </c>
    </row>
    <row r="38" spans="1:10" x14ac:dyDescent="0.45">
      <c r="A38" s="12" t="s">
        <v>128</v>
      </c>
      <c r="B38" s="14" t="s">
        <v>39</v>
      </c>
      <c r="C38" s="13">
        <v>0</v>
      </c>
      <c r="D38" s="12" t="s">
        <v>40</v>
      </c>
      <c r="E38" s="12"/>
      <c r="G38" s="4" t="str">
        <f t="shared" si="3"/>
        <v>Reduction factor</v>
      </c>
      <c r="H38" s="4" t="str">
        <f t="shared" si="1"/>
        <v>Reduction factor - lM</v>
      </c>
      <c r="I38" s="5" t="str">
        <f t="shared" si="2"/>
        <v>lM</v>
      </c>
      <c r="J38" s="5">
        <f t="shared" si="0"/>
        <v>0</v>
      </c>
    </row>
    <row r="39" spans="1:10" x14ac:dyDescent="0.45">
      <c r="A39" s="12" t="s">
        <v>129</v>
      </c>
      <c r="B39" s="12" t="s">
        <v>41</v>
      </c>
      <c r="C39" s="16">
        <v>16.558</v>
      </c>
      <c r="D39" s="12" t="s">
        <v>42</v>
      </c>
      <c r="E39" s="12"/>
      <c r="G39" s="4" t="str">
        <f t="shared" si="3"/>
        <v>Max. plastic bending moments</v>
      </c>
      <c r="H39" s="4" t="str">
        <f t="shared" si="1"/>
        <v>Max. plastic bending moments - Mpl,y,d</v>
      </c>
      <c r="I39" s="5" t="str">
        <f t="shared" si="2"/>
        <v>Mpl,y,d</v>
      </c>
      <c r="J39" s="5">
        <f t="shared" si="0"/>
        <v>16.558</v>
      </c>
    </row>
    <row r="40" spans="1:10" x14ac:dyDescent="0.45">
      <c r="A40" s="12"/>
      <c r="B40" s="12" t="s">
        <v>43</v>
      </c>
      <c r="C40" s="16">
        <v>13.37</v>
      </c>
      <c r="D40" s="12" t="s">
        <v>42</v>
      </c>
      <c r="E40" s="12"/>
      <c r="G40" s="4" t="str">
        <f t="shared" si="3"/>
        <v>Max. plastic bending moments</v>
      </c>
      <c r="H40" s="4" t="str">
        <f t="shared" si="1"/>
        <v>Max. plastic bending moments - Mpl,z,d</v>
      </c>
      <c r="I40" s="5" t="str">
        <f t="shared" si="2"/>
        <v>Mpl,z,d</v>
      </c>
      <c r="J40" s="5">
        <f t="shared" si="0"/>
        <v>13.37</v>
      </c>
    </row>
    <row r="41" spans="1:10" x14ac:dyDescent="0.45">
      <c r="A41" s="12" t="s">
        <v>130</v>
      </c>
      <c r="B41" s="12" t="s">
        <v>44</v>
      </c>
      <c r="C41" s="13">
        <v>46.64</v>
      </c>
      <c r="D41" s="12" t="s">
        <v>34</v>
      </c>
      <c r="E41" s="12" t="s">
        <v>163</v>
      </c>
      <c r="G41" s="4" t="str">
        <f t="shared" si="3"/>
        <v>Max. plastic section moduli</v>
      </c>
      <c r="H41" s="4" t="str">
        <f t="shared" si="1"/>
        <v>Max. plastic section moduli - Zy</v>
      </c>
      <c r="I41" s="5" t="str">
        <f t="shared" si="2"/>
        <v>Zy</v>
      </c>
      <c r="J41" s="5">
        <f t="shared" si="0"/>
        <v>46.64</v>
      </c>
    </row>
    <row r="42" spans="1:10" x14ac:dyDescent="0.45">
      <c r="A42" s="12"/>
      <c r="B42" s="12" t="s">
        <v>45</v>
      </c>
      <c r="C42" s="13">
        <v>37.659999999999997</v>
      </c>
      <c r="D42" s="12" t="s">
        <v>34</v>
      </c>
      <c r="E42" s="12" t="s">
        <v>238</v>
      </c>
      <c r="G42" s="4" t="str">
        <f t="shared" si="3"/>
        <v>Max. plastic section moduli</v>
      </c>
      <c r="H42" s="4" t="str">
        <f t="shared" si="1"/>
        <v>Max. plastic section moduli - Zz</v>
      </c>
      <c r="I42" s="5" t="str">
        <f t="shared" si="2"/>
        <v>Zz</v>
      </c>
      <c r="J42" s="5">
        <f t="shared" si="0"/>
        <v>37.659999999999997</v>
      </c>
    </row>
    <row r="43" spans="1:10" x14ac:dyDescent="0.45">
      <c r="A43" s="12" t="s">
        <v>131</v>
      </c>
      <c r="B43" s="12" t="s">
        <v>46</v>
      </c>
      <c r="C43" s="13">
        <v>7.22</v>
      </c>
      <c r="D43" s="12" t="s">
        <v>6</v>
      </c>
      <c r="E43" s="12"/>
      <c r="G43" s="4" t="str">
        <f t="shared" si="3"/>
        <v>Plastic shear areas</v>
      </c>
      <c r="H43" s="4" t="str">
        <f t="shared" si="1"/>
        <v>Plastic shear areas - Apl,y</v>
      </c>
      <c r="I43" s="5" t="str">
        <f t="shared" si="2"/>
        <v>Apl,y</v>
      </c>
      <c r="J43" s="5">
        <f t="shared" si="0"/>
        <v>7.22</v>
      </c>
    </row>
    <row r="44" spans="1:10" x14ac:dyDescent="0.45">
      <c r="A44" s="12"/>
      <c r="B44" s="12" t="s">
        <v>47</v>
      </c>
      <c r="C44" s="13">
        <v>7.03</v>
      </c>
      <c r="D44" s="12" t="s">
        <v>6</v>
      </c>
      <c r="E44" s="12"/>
      <c r="G44" s="4" t="str">
        <f t="shared" si="3"/>
        <v>Plastic shear areas</v>
      </c>
      <c r="H44" s="4" t="str">
        <f t="shared" si="1"/>
        <v>Plastic shear areas - Apl,z</v>
      </c>
      <c r="I44" s="5" t="str">
        <f t="shared" si="2"/>
        <v>Apl,z</v>
      </c>
      <c r="J44" s="5">
        <f t="shared" si="0"/>
        <v>7.03</v>
      </c>
    </row>
    <row r="45" spans="1:10" x14ac:dyDescent="0.45">
      <c r="A45" s="12" t="s">
        <v>132</v>
      </c>
      <c r="B45" s="12" t="s">
        <v>48</v>
      </c>
      <c r="C45" s="13">
        <v>0.17</v>
      </c>
      <c r="D45" s="12" t="s">
        <v>10</v>
      </c>
      <c r="E45" s="12" t="s">
        <v>99</v>
      </c>
      <c r="G45" s="4" t="str">
        <f t="shared" si="3"/>
        <v>Position of area bisecting axes</v>
      </c>
      <c r="H45" s="4" t="str">
        <f t="shared" si="1"/>
        <v>Position of area bisecting axes - fy,0</v>
      </c>
      <c r="I45" s="5" t="str">
        <f t="shared" si="2"/>
        <v>fy,0</v>
      </c>
      <c r="J45" s="5">
        <f t="shared" si="0"/>
        <v>0.17</v>
      </c>
    </row>
    <row r="46" spans="1:10" x14ac:dyDescent="0.45">
      <c r="A46" s="12"/>
      <c r="B46" s="12" t="s">
        <v>49</v>
      </c>
      <c r="C46" s="13">
        <v>0</v>
      </c>
      <c r="D46" s="12" t="s">
        <v>10</v>
      </c>
      <c r="E46" s="12"/>
      <c r="G46" s="4" t="str">
        <f t="shared" si="3"/>
        <v>Position of area bisecting axes</v>
      </c>
      <c r="H46" s="4" t="str">
        <f t="shared" si="1"/>
        <v>Position of area bisecting axes - fz,0</v>
      </c>
      <c r="I46" s="5" t="str">
        <f t="shared" si="2"/>
        <v>fz,0</v>
      </c>
      <c r="J46" s="5">
        <f t="shared" si="0"/>
        <v>0</v>
      </c>
    </row>
    <row r="47" spans="1:10" x14ac:dyDescent="0.45">
      <c r="A47" s="12" t="s">
        <v>133</v>
      </c>
      <c r="B47" s="12" t="s">
        <v>50</v>
      </c>
      <c r="C47" s="13">
        <v>147.88</v>
      </c>
      <c r="D47" s="12" t="s">
        <v>51</v>
      </c>
      <c r="E47" s="12"/>
      <c r="G47" s="4" t="str">
        <f t="shared" si="3"/>
        <v>Plastic shear forces</v>
      </c>
      <c r="H47" s="4" t="str">
        <f t="shared" si="1"/>
        <v>Plastic shear forces - Vpl,y,d</v>
      </c>
      <c r="I47" s="5" t="str">
        <f t="shared" si="2"/>
        <v>Vpl,y,d</v>
      </c>
      <c r="J47" s="5">
        <f t="shared" si="0"/>
        <v>147.88</v>
      </c>
    </row>
    <row r="48" spans="1:10" x14ac:dyDescent="0.45">
      <c r="A48" s="12"/>
      <c r="B48" s="12" t="s">
        <v>52</v>
      </c>
      <c r="C48" s="13">
        <v>144.18</v>
      </c>
      <c r="D48" s="12" t="s">
        <v>51</v>
      </c>
      <c r="E48" s="12"/>
      <c r="G48" s="4" t="str">
        <f t="shared" si="3"/>
        <v>Plastic shear forces</v>
      </c>
      <c r="H48" s="4" t="str">
        <f t="shared" si="1"/>
        <v>Plastic shear forces - Vpl,z,d</v>
      </c>
      <c r="I48" s="5" t="str">
        <f t="shared" si="2"/>
        <v>Vpl,z,d</v>
      </c>
      <c r="J48" s="5">
        <f t="shared" si="0"/>
        <v>144.18</v>
      </c>
    </row>
    <row r="49" spans="1:10" x14ac:dyDescent="0.45">
      <c r="A49" s="12" t="s">
        <v>134</v>
      </c>
      <c r="B49" s="12" t="s">
        <v>53</v>
      </c>
      <c r="C49" s="13">
        <v>436.17</v>
      </c>
      <c r="D49" s="12" t="s">
        <v>51</v>
      </c>
      <c r="E49" s="12"/>
      <c r="G49" s="4" t="str">
        <f t="shared" si="3"/>
        <v>Plastic axial force</v>
      </c>
      <c r="H49" s="4" t="str">
        <f t="shared" si="1"/>
        <v>Plastic axial force - Npl,d</v>
      </c>
      <c r="I49" s="5" t="str">
        <f t="shared" si="2"/>
        <v>Npl,d</v>
      </c>
      <c r="J49" s="5">
        <f t="shared" si="0"/>
        <v>436.17</v>
      </c>
    </row>
    <row r="50" spans="1:10" x14ac:dyDescent="0.45">
      <c r="A50" s="12" t="s">
        <v>135</v>
      </c>
      <c r="B50" s="12" t="s">
        <v>92</v>
      </c>
      <c r="C50" s="17" t="s">
        <v>54</v>
      </c>
      <c r="D50" s="12"/>
      <c r="E50" s="12" t="s">
        <v>55</v>
      </c>
      <c r="G50" s="4" t="str">
        <f t="shared" si="3"/>
        <v>Buckling curves</v>
      </c>
      <c r="H50" s="4" t="str">
        <f t="shared" si="1"/>
        <v>Buckling curves - BCy/u</v>
      </c>
      <c r="I50" s="5" t="str">
        <f t="shared" si="2"/>
        <v>BCy/u</v>
      </c>
      <c r="J50" s="5" t="str">
        <f t="shared" si="0"/>
        <v>c</v>
      </c>
    </row>
    <row r="51" spans="1:10" x14ac:dyDescent="0.45">
      <c r="A51" s="12"/>
      <c r="B51" s="12" t="s">
        <v>93</v>
      </c>
      <c r="C51" s="17" t="s">
        <v>54</v>
      </c>
      <c r="D51" s="12"/>
      <c r="E51" s="12"/>
      <c r="G51" s="4" t="str">
        <f t="shared" si="3"/>
        <v>Buckling curves</v>
      </c>
      <c r="H51" s="4" t="str">
        <f t="shared" si="1"/>
        <v>Buckling curves - BCz/v</v>
      </c>
      <c r="I51" s="5" t="str">
        <f t="shared" si="2"/>
        <v>BCz/v</v>
      </c>
      <c r="J51" s="5" t="str">
        <f t="shared" si="0"/>
        <v>c</v>
      </c>
    </row>
    <row r="52" spans="1:10" x14ac:dyDescent="0.45">
      <c r="G52" s="4" t="str">
        <f t="shared" si="3"/>
        <v>Buckling curves</v>
      </c>
      <c r="H52" s="4" t="str">
        <f t="shared" si="1"/>
        <v xml:space="preserve">Buckling curves - </v>
      </c>
      <c r="I52" s="5">
        <f t="shared" si="2"/>
        <v>0</v>
      </c>
      <c r="J52" s="5">
        <f t="shared" si="0"/>
        <v>0</v>
      </c>
    </row>
    <row r="53" spans="1:10" x14ac:dyDescent="0.45">
      <c r="G53" s="4" t="str">
        <f t="shared" si="3"/>
        <v>Buckling curves</v>
      </c>
      <c r="H53" s="4" t="str">
        <f t="shared" si="1"/>
        <v xml:space="preserve">Buckling curves - </v>
      </c>
      <c r="I53" s="5">
        <f t="shared" si="2"/>
        <v>0</v>
      </c>
      <c r="J53" s="5">
        <f t="shared" si="0"/>
        <v>0</v>
      </c>
    </row>
    <row r="54" spans="1:10" x14ac:dyDescent="0.45">
      <c r="G54" s="4" t="str">
        <f t="shared" si="3"/>
        <v>Buckling curves</v>
      </c>
      <c r="H54" s="4" t="str">
        <f t="shared" si="1"/>
        <v xml:space="preserve">Buckling curves - </v>
      </c>
      <c r="I54" s="5">
        <f t="shared" si="2"/>
        <v>0</v>
      </c>
      <c r="J54" s="5">
        <f t="shared" si="0"/>
        <v>0</v>
      </c>
    </row>
    <row r="55" spans="1:10" x14ac:dyDescent="0.45">
      <c r="G55" s="4" t="str">
        <f t="shared" si="3"/>
        <v>Buckling curves</v>
      </c>
      <c r="H55" s="4" t="str">
        <f t="shared" si="1"/>
        <v xml:space="preserve">Buckling curves - </v>
      </c>
      <c r="I55" s="5">
        <f t="shared" si="2"/>
        <v>0</v>
      </c>
      <c r="J55" s="5">
        <f t="shared" si="0"/>
        <v>0</v>
      </c>
    </row>
    <row r="56" spans="1:10" x14ac:dyDescent="0.45">
      <c r="G56" s="4" t="str">
        <f t="shared" si="3"/>
        <v>Buckling curves</v>
      </c>
      <c r="H56" s="4" t="str">
        <f t="shared" si="1"/>
        <v xml:space="preserve">Buckling curves - </v>
      </c>
      <c r="I56" s="5">
        <f t="shared" si="2"/>
        <v>0</v>
      </c>
      <c r="J56" s="5">
        <f t="shared" si="0"/>
        <v>0</v>
      </c>
    </row>
    <row r="57" spans="1:10" x14ac:dyDescent="0.45">
      <c r="G57" s="4" t="str">
        <f t="shared" si="3"/>
        <v>Buckling curves</v>
      </c>
      <c r="H57" s="4" t="str">
        <f t="shared" si="1"/>
        <v xml:space="preserve">Buckling curves - </v>
      </c>
      <c r="I57" s="5">
        <f t="shared" si="2"/>
        <v>0</v>
      </c>
      <c r="J57" s="5">
        <f t="shared" si="0"/>
        <v>0</v>
      </c>
    </row>
    <row r="58" spans="1:10" x14ac:dyDescent="0.45">
      <c r="G58" s="4" t="str">
        <f t="shared" si="3"/>
        <v>Buckling curves</v>
      </c>
      <c r="H58" s="4" t="str">
        <f t="shared" si="1"/>
        <v xml:space="preserve">Buckling curves - </v>
      </c>
      <c r="I58" s="5">
        <f t="shared" si="2"/>
        <v>0</v>
      </c>
      <c r="J58" s="5">
        <f t="shared" si="0"/>
        <v>0</v>
      </c>
    </row>
    <row r="59" spans="1:10" x14ac:dyDescent="0.45">
      <c r="G59" s="4" t="str">
        <f t="shared" si="3"/>
        <v>Buckling curves</v>
      </c>
      <c r="H59" s="4" t="str">
        <f t="shared" si="1"/>
        <v xml:space="preserve">Buckling curves - </v>
      </c>
      <c r="I59" s="5">
        <f t="shared" si="2"/>
        <v>0</v>
      </c>
      <c r="J59" s="5">
        <f t="shared" si="0"/>
        <v>0</v>
      </c>
    </row>
    <row r="60" spans="1:10" x14ac:dyDescent="0.45">
      <c r="G60" s="4" t="str">
        <f t="shared" si="3"/>
        <v>Buckling curves</v>
      </c>
      <c r="H60" s="4" t="str">
        <f t="shared" si="1"/>
        <v xml:space="preserve">Buckling curves - </v>
      </c>
      <c r="I60" s="5">
        <f t="shared" si="2"/>
        <v>0</v>
      </c>
      <c r="J60" s="5">
        <f t="shared" si="0"/>
        <v>0</v>
      </c>
    </row>
    <row r="61" spans="1:10" x14ac:dyDescent="0.45">
      <c r="G61" s="4" t="str">
        <f t="shared" si="3"/>
        <v>Buckling curves</v>
      </c>
      <c r="H61" s="4" t="str">
        <f t="shared" si="1"/>
        <v xml:space="preserve">Buckling curves - </v>
      </c>
      <c r="I61" s="5">
        <f t="shared" si="2"/>
        <v>0</v>
      </c>
      <c r="J61" s="5">
        <f t="shared" si="0"/>
        <v>0</v>
      </c>
    </row>
    <row r="62" spans="1:10" x14ac:dyDescent="0.45">
      <c r="G62" s="4" t="str">
        <f t="shared" si="3"/>
        <v>Buckling curves</v>
      </c>
      <c r="H62" s="4" t="str">
        <f t="shared" si="1"/>
        <v xml:space="preserve">Buckling curves - </v>
      </c>
      <c r="I62" s="5">
        <f t="shared" si="2"/>
        <v>0</v>
      </c>
      <c r="J62" s="5">
        <f t="shared" si="0"/>
        <v>0</v>
      </c>
    </row>
    <row r="63" spans="1:10" x14ac:dyDescent="0.45">
      <c r="G63" s="4" t="str">
        <f t="shared" si="3"/>
        <v>Buckling curves</v>
      </c>
      <c r="H63" s="4" t="str">
        <f t="shared" si="1"/>
        <v xml:space="preserve">Buckling curves - </v>
      </c>
      <c r="I63" s="5">
        <f t="shared" si="2"/>
        <v>0</v>
      </c>
      <c r="J63" s="5">
        <f t="shared" si="0"/>
        <v>0</v>
      </c>
    </row>
    <row r="64" spans="1:10" x14ac:dyDescent="0.45">
      <c r="G64" s="4" t="str">
        <f t="shared" si="3"/>
        <v>Buckling curves</v>
      </c>
      <c r="H64" s="4" t="str">
        <f t="shared" si="1"/>
        <v xml:space="preserve">Buckling curves - </v>
      </c>
      <c r="I64" s="5">
        <f t="shared" si="2"/>
        <v>0</v>
      </c>
      <c r="J64" s="5">
        <f t="shared" si="0"/>
        <v>0</v>
      </c>
    </row>
    <row r="65" spans="7:10" x14ac:dyDescent="0.45">
      <c r="G65" s="4" t="str">
        <f t="shared" si="3"/>
        <v>Buckling curves</v>
      </c>
      <c r="H65" s="4" t="str">
        <f t="shared" si="1"/>
        <v xml:space="preserve">Buckling curves - </v>
      </c>
      <c r="I65" s="5">
        <f t="shared" si="2"/>
        <v>0</v>
      </c>
      <c r="J65" s="5">
        <f t="shared" si="0"/>
        <v>0</v>
      </c>
    </row>
    <row r="66" spans="7:10" x14ac:dyDescent="0.45">
      <c r="G66" s="4" t="str">
        <f t="shared" si="3"/>
        <v>Buckling curves</v>
      </c>
      <c r="H66" s="4" t="str">
        <f t="shared" si="1"/>
        <v xml:space="preserve">Buckling curves - </v>
      </c>
      <c r="I66" s="5">
        <f t="shared" si="2"/>
        <v>0</v>
      </c>
      <c r="J66" s="5">
        <f t="shared" si="2"/>
        <v>0</v>
      </c>
    </row>
    <row r="67" spans="7:10" x14ac:dyDescent="0.45">
      <c r="G67" s="4" t="str">
        <f t="shared" si="3"/>
        <v>Buckling curves</v>
      </c>
      <c r="H67" s="4" t="str">
        <f t="shared" si="1"/>
        <v xml:space="preserve">Buckling curves - </v>
      </c>
      <c r="I67" s="5">
        <f t="shared" si="2"/>
        <v>0</v>
      </c>
      <c r="J67" s="5">
        <f t="shared" si="2"/>
        <v>0</v>
      </c>
    </row>
    <row r="68" spans="7:10" x14ac:dyDescent="0.45">
      <c r="G68" s="4" t="str">
        <f t="shared" si="3"/>
        <v>Buckling curves</v>
      </c>
      <c r="H68" s="4" t="str">
        <f t="shared" ref="H68:H131" si="5">G68&amp;" - "&amp;B68</f>
        <v xml:space="preserve">Buckling curves - </v>
      </c>
      <c r="I68" s="5">
        <f t="shared" ref="I68:J131" si="6">B68</f>
        <v>0</v>
      </c>
      <c r="J68" s="5">
        <f t="shared" si="6"/>
        <v>0</v>
      </c>
    </row>
    <row r="69" spans="7:10" x14ac:dyDescent="0.45">
      <c r="G69" s="4" t="str">
        <f t="shared" ref="G69:G132" si="7">IF(A69="",G68,A69)</f>
        <v>Buckling curves</v>
      </c>
      <c r="H69" s="4" t="str">
        <f t="shared" si="5"/>
        <v xml:space="preserve">Buckling curves - </v>
      </c>
      <c r="I69" s="5">
        <f t="shared" si="6"/>
        <v>0</v>
      </c>
      <c r="J69" s="5">
        <f t="shared" si="6"/>
        <v>0</v>
      </c>
    </row>
    <row r="70" spans="7:10" x14ac:dyDescent="0.45">
      <c r="G70" s="4" t="str">
        <f t="shared" si="7"/>
        <v>Buckling curves</v>
      </c>
      <c r="H70" s="4" t="str">
        <f t="shared" si="5"/>
        <v xml:space="preserve">Buckling curves - </v>
      </c>
      <c r="I70" s="5">
        <f t="shared" si="6"/>
        <v>0</v>
      </c>
      <c r="J70" s="5">
        <f t="shared" si="6"/>
        <v>0</v>
      </c>
    </row>
    <row r="71" spans="7:10" x14ac:dyDescent="0.45">
      <c r="G71" s="4" t="str">
        <f t="shared" si="7"/>
        <v>Buckling curves</v>
      </c>
      <c r="H71" s="4" t="str">
        <f t="shared" si="5"/>
        <v xml:space="preserve">Buckling curves - </v>
      </c>
      <c r="I71" s="5">
        <f t="shared" si="6"/>
        <v>0</v>
      </c>
      <c r="J71" s="5">
        <f t="shared" si="6"/>
        <v>0</v>
      </c>
    </row>
    <row r="72" spans="7:10" x14ac:dyDescent="0.45">
      <c r="G72" s="4" t="str">
        <f t="shared" si="7"/>
        <v>Buckling curves</v>
      </c>
      <c r="H72" s="4" t="str">
        <f t="shared" si="5"/>
        <v xml:space="preserve">Buckling curves - </v>
      </c>
      <c r="I72" s="5">
        <f t="shared" si="6"/>
        <v>0</v>
      </c>
      <c r="J72" s="5">
        <f t="shared" si="6"/>
        <v>0</v>
      </c>
    </row>
    <row r="73" spans="7:10" x14ac:dyDescent="0.45">
      <c r="G73" s="4" t="str">
        <f t="shared" si="7"/>
        <v>Buckling curves</v>
      </c>
      <c r="H73" s="4" t="str">
        <f t="shared" si="5"/>
        <v xml:space="preserve">Buckling curves - </v>
      </c>
      <c r="I73" s="5">
        <f t="shared" si="6"/>
        <v>0</v>
      </c>
      <c r="J73" s="5">
        <f t="shared" si="6"/>
        <v>0</v>
      </c>
    </row>
    <row r="74" spans="7:10" x14ac:dyDescent="0.45">
      <c r="G74" s="4" t="str">
        <f t="shared" si="7"/>
        <v>Buckling curves</v>
      </c>
      <c r="H74" s="4" t="str">
        <f t="shared" si="5"/>
        <v xml:space="preserve">Buckling curves - </v>
      </c>
      <c r="I74" s="5">
        <f t="shared" si="6"/>
        <v>0</v>
      </c>
      <c r="J74" s="5">
        <f t="shared" si="6"/>
        <v>0</v>
      </c>
    </row>
    <row r="75" spans="7:10" x14ac:dyDescent="0.45">
      <c r="G75" s="4" t="str">
        <f t="shared" si="7"/>
        <v>Buckling curves</v>
      </c>
      <c r="H75" s="4" t="str">
        <f t="shared" si="5"/>
        <v xml:space="preserve">Buckling curves - </v>
      </c>
      <c r="I75" s="5">
        <f t="shared" si="6"/>
        <v>0</v>
      </c>
      <c r="J75" s="5">
        <f t="shared" si="6"/>
        <v>0</v>
      </c>
    </row>
    <row r="76" spans="7:10" x14ac:dyDescent="0.45">
      <c r="G76" s="4" t="str">
        <f t="shared" si="7"/>
        <v>Buckling curves</v>
      </c>
      <c r="H76" s="4" t="str">
        <f t="shared" si="5"/>
        <v xml:space="preserve">Buckling curves - </v>
      </c>
      <c r="I76" s="5">
        <f t="shared" si="6"/>
        <v>0</v>
      </c>
      <c r="J76" s="5">
        <f t="shared" si="6"/>
        <v>0</v>
      </c>
    </row>
    <row r="77" spans="7:10" x14ac:dyDescent="0.45">
      <c r="G77" s="4" t="str">
        <f t="shared" si="7"/>
        <v>Buckling curves</v>
      </c>
      <c r="H77" s="4" t="str">
        <f t="shared" si="5"/>
        <v xml:space="preserve">Buckling curves - </v>
      </c>
      <c r="I77" s="5">
        <f t="shared" si="6"/>
        <v>0</v>
      </c>
      <c r="J77" s="5">
        <f t="shared" si="6"/>
        <v>0</v>
      </c>
    </row>
    <row r="78" spans="7:10" x14ac:dyDescent="0.45">
      <c r="G78" s="4" t="str">
        <f t="shared" si="7"/>
        <v>Buckling curves</v>
      </c>
      <c r="H78" s="4" t="str">
        <f t="shared" si="5"/>
        <v xml:space="preserve">Buckling curves - </v>
      </c>
      <c r="I78" s="5">
        <f t="shared" si="6"/>
        <v>0</v>
      </c>
      <c r="J78" s="5">
        <f t="shared" si="6"/>
        <v>0</v>
      </c>
    </row>
    <row r="79" spans="7:10" x14ac:dyDescent="0.45">
      <c r="G79" s="4" t="str">
        <f t="shared" si="7"/>
        <v>Buckling curves</v>
      </c>
      <c r="H79" s="4" t="str">
        <f t="shared" si="5"/>
        <v xml:space="preserve">Buckling curves - </v>
      </c>
      <c r="I79" s="5">
        <f t="shared" si="6"/>
        <v>0</v>
      </c>
      <c r="J79" s="5">
        <f t="shared" si="6"/>
        <v>0</v>
      </c>
    </row>
    <row r="80" spans="7:10" x14ac:dyDescent="0.45">
      <c r="G80" s="4" t="str">
        <f t="shared" si="7"/>
        <v>Buckling curves</v>
      </c>
      <c r="H80" s="4" t="str">
        <f t="shared" si="5"/>
        <v xml:space="preserve">Buckling curves - </v>
      </c>
      <c r="I80" s="5">
        <f t="shared" si="6"/>
        <v>0</v>
      </c>
      <c r="J80" s="5">
        <f t="shared" si="6"/>
        <v>0</v>
      </c>
    </row>
    <row r="81" spans="7:10" x14ac:dyDescent="0.45">
      <c r="G81" s="4" t="str">
        <f t="shared" si="7"/>
        <v>Buckling curves</v>
      </c>
      <c r="H81" s="4" t="str">
        <f t="shared" si="5"/>
        <v xml:space="preserve">Buckling curves - </v>
      </c>
      <c r="I81" s="5">
        <f t="shared" si="6"/>
        <v>0</v>
      </c>
      <c r="J81" s="5">
        <f t="shared" si="6"/>
        <v>0</v>
      </c>
    </row>
    <row r="82" spans="7:10" x14ac:dyDescent="0.45">
      <c r="G82" s="4" t="str">
        <f t="shared" si="7"/>
        <v>Buckling curves</v>
      </c>
      <c r="H82" s="4" t="str">
        <f t="shared" si="5"/>
        <v xml:space="preserve">Buckling curves - </v>
      </c>
      <c r="I82" s="5">
        <f t="shared" si="6"/>
        <v>0</v>
      </c>
      <c r="J82" s="5">
        <f t="shared" si="6"/>
        <v>0</v>
      </c>
    </row>
    <row r="83" spans="7:10" x14ac:dyDescent="0.45">
      <c r="G83" s="4" t="str">
        <f t="shared" si="7"/>
        <v>Buckling curves</v>
      </c>
      <c r="H83" s="4" t="str">
        <f t="shared" si="5"/>
        <v xml:space="preserve">Buckling curves - </v>
      </c>
      <c r="I83" s="5">
        <f t="shared" si="6"/>
        <v>0</v>
      </c>
      <c r="J83" s="5">
        <f t="shared" si="6"/>
        <v>0</v>
      </c>
    </row>
    <row r="84" spans="7:10" x14ac:dyDescent="0.45">
      <c r="G84" s="4" t="str">
        <f t="shared" si="7"/>
        <v>Buckling curves</v>
      </c>
      <c r="H84" s="4" t="str">
        <f t="shared" si="5"/>
        <v xml:space="preserve">Buckling curves - </v>
      </c>
      <c r="I84" s="5">
        <f t="shared" si="6"/>
        <v>0</v>
      </c>
      <c r="J84" s="5">
        <f t="shared" si="6"/>
        <v>0</v>
      </c>
    </row>
    <row r="85" spans="7:10" x14ac:dyDescent="0.45">
      <c r="G85" s="4" t="str">
        <f t="shared" si="7"/>
        <v>Buckling curves</v>
      </c>
      <c r="H85" s="4" t="str">
        <f t="shared" si="5"/>
        <v xml:space="preserve">Buckling curves - </v>
      </c>
      <c r="I85" s="5">
        <f t="shared" si="6"/>
        <v>0</v>
      </c>
      <c r="J85" s="5">
        <f t="shared" si="6"/>
        <v>0</v>
      </c>
    </row>
    <row r="86" spans="7:10" x14ac:dyDescent="0.45">
      <c r="G86" s="4" t="str">
        <f t="shared" si="7"/>
        <v>Buckling curves</v>
      </c>
      <c r="H86" s="4" t="str">
        <f t="shared" si="5"/>
        <v xml:space="preserve">Buckling curves - </v>
      </c>
      <c r="I86" s="5">
        <f t="shared" si="6"/>
        <v>0</v>
      </c>
      <c r="J86" s="5">
        <f t="shared" si="6"/>
        <v>0</v>
      </c>
    </row>
    <row r="87" spans="7:10" x14ac:dyDescent="0.45">
      <c r="G87" s="4" t="str">
        <f t="shared" si="7"/>
        <v>Buckling curves</v>
      </c>
      <c r="H87" s="4" t="str">
        <f t="shared" si="5"/>
        <v xml:space="preserve">Buckling curves - </v>
      </c>
      <c r="I87" s="5">
        <f t="shared" si="6"/>
        <v>0</v>
      </c>
      <c r="J87" s="5">
        <f t="shared" si="6"/>
        <v>0</v>
      </c>
    </row>
    <row r="88" spans="7:10" x14ac:dyDescent="0.45">
      <c r="G88" s="4" t="str">
        <f t="shared" si="7"/>
        <v>Buckling curves</v>
      </c>
      <c r="H88" s="4" t="str">
        <f t="shared" si="5"/>
        <v xml:space="preserve">Buckling curves - </v>
      </c>
      <c r="I88" s="5">
        <f t="shared" si="6"/>
        <v>0</v>
      </c>
      <c r="J88" s="5">
        <f t="shared" si="6"/>
        <v>0</v>
      </c>
    </row>
    <row r="89" spans="7:10" x14ac:dyDescent="0.45">
      <c r="G89" s="4" t="str">
        <f t="shared" si="7"/>
        <v>Buckling curves</v>
      </c>
      <c r="H89" s="4" t="str">
        <f t="shared" si="5"/>
        <v xml:space="preserve">Buckling curves - </v>
      </c>
      <c r="I89" s="5">
        <f t="shared" si="6"/>
        <v>0</v>
      </c>
      <c r="J89" s="5">
        <f t="shared" si="6"/>
        <v>0</v>
      </c>
    </row>
    <row r="90" spans="7:10" x14ac:dyDescent="0.45">
      <c r="G90" s="4" t="str">
        <f t="shared" si="7"/>
        <v>Buckling curves</v>
      </c>
      <c r="H90" s="4" t="str">
        <f t="shared" si="5"/>
        <v xml:space="preserve">Buckling curves - </v>
      </c>
      <c r="I90" s="5">
        <f t="shared" si="6"/>
        <v>0</v>
      </c>
      <c r="J90" s="5">
        <f t="shared" si="6"/>
        <v>0</v>
      </c>
    </row>
    <row r="91" spans="7:10" x14ac:dyDescent="0.45">
      <c r="G91" s="4" t="str">
        <f t="shared" si="7"/>
        <v>Buckling curves</v>
      </c>
      <c r="H91" s="4" t="str">
        <f t="shared" si="5"/>
        <v xml:space="preserve">Buckling curves - </v>
      </c>
      <c r="I91" s="5">
        <f t="shared" si="6"/>
        <v>0</v>
      </c>
      <c r="J91" s="5">
        <f t="shared" si="6"/>
        <v>0</v>
      </c>
    </row>
    <row r="92" spans="7:10" x14ac:dyDescent="0.45">
      <c r="G92" s="4" t="str">
        <f t="shared" si="7"/>
        <v>Buckling curves</v>
      </c>
      <c r="H92" s="4" t="str">
        <f t="shared" si="5"/>
        <v xml:space="preserve">Buckling curves - </v>
      </c>
      <c r="I92" s="5">
        <f t="shared" si="6"/>
        <v>0</v>
      </c>
      <c r="J92" s="5">
        <f t="shared" si="6"/>
        <v>0</v>
      </c>
    </row>
    <row r="93" spans="7:10" x14ac:dyDescent="0.45">
      <c r="G93" s="4" t="str">
        <f t="shared" si="7"/>
        <v>Buckling curves</v>
      </c>
      <c r="H93" s="4" t="str">
        <f t="shared" si="5"/>
        <v xml:space="preserve">Buckling curves - </v>
      </c>
      <c r="I93" s="5">
        <f t="shared" si="6"/>
        <v>0</v>
      </c>
      <c r="J93" s="5">
        <f t="shared" si="6"/>
        <v>0</v>
      </c>
    </row>
    <row r="94" spans="7:10" x14ac:dyDescent="0.45">
      <c r="G94" s="4" t="str">
        <f t="shared" si="7"/>
        <v>Buckling curves</v>
      </c>
      <c r="H94" s="4" t="str">
        <f t="shared" si="5"/>
        <v xml:space="preserve">Buckling curves - </v>
      </c>
      <c r="I94" s="5">
        <f t="shared" si="6"/>
        <v>0</v>
      </c>
      <c r="J94" s="5">
        <f t="shared" si="6"/>
        <v>0</v>
      </c>
    </row>
    <row r="95" spans="7:10" x14ac:dyDescent="0.45">
      <c r="G95" s="4" t="str">
        <f t="shared" si="7"/>
        <v>Buckling curves</v>
      </c>
      <c r="H95" s="4" t="str">
        <f t="shared" si="5"/>
        <v xml:space="preserve">Buckling curves - </v>
      </c>
      <c r="I95" s="5">
        <f t="shared" si="6"/>
        <v>0</v>
      </c>
      <c r="J95" s="5">
        <f t="shared" si="6"/>
        <v>0</v>
      </c>
    </row>
    <row r="96" spans="7:10" x14ac:dyDescent="0.45">
      <c r="G96" s="4" t="str">
        <f t="shared" si="7"/>
        <v>Buckling curves</v>
      </c>
      <c r="H96" s="4" t="str">
        <f t="shared" si="5"/>
        <v xml:space="preserve">Buckling curves - </v>
      </c>
      <c r="I96" s="5">
        <f t="shared" si="6"/>
        <v>0</v>
      </c>
      <c r="J96" s="5">
        <f t="shared" si="6"/>
        <v>0</v>
      </c>
    </row>
    <row r="97" spans="7:10" x14ac:dyDescent="0.45">
      <c r="G97" s="4" t="str">
        <f t="shared" si="7"/>
        <v>Buckling curves</v>
      </c>
      <c r="H97" s="4" t="str">
        <f t="shared" si="5"/>
        <v xml:space="preserve">Buckling curves - </v>
      </c>
      <c r="I97" s="5">
        <f t="shared" si="6"/>
        <v>0</v>
      </c>
      <c r="J97" s="5">
        <f t="shared" si="6"/>
        <v>0</v>
      </c>
    </row>
    <row r="98" spans="7:10" x14ac:dyDescent="0.45">
      <c r="G98" s="4" t="str">
        <f t="shared" si="7"/>
        <v>Buckling curves</v>
      </c>
      <c r="H98" s="4" t="str">
        <f t="shared" si="5"/>
        <v xml:space="preserve">Buckling curves - </v>
      </c>
      <c r="I98" s="5">
        <f t="shared" si="6"/>
        <v>0</v>
      </c>
      <c r="J98" s="5">
        <f t="shared" si="6"/>
        <v>0</v>
      </c>
    </row>
    <row r="99" spans="7:10" x14ac:dyDescent="0.45">
      <c r="G99" s="4" t="str">
        <f t="shared" si="7"/>
        <v>Buckling curves</v>
      </c>
      <c r="H99" s="4" t="str">
        <f t="shared" si="5"/>
        <v xml:space="preserve">Buckling curves - </v>
      </c>
      <c r="I99" s="5">
        <f t="shared" si="6"/>
        <v>0</v>
      </c>
      <c r="J99" s="5">
        <f t="shared" si="6"/>
        <v>0</v>
      </c>
    </row>
    <row r="100" spans="7:10" x14ac:dyDescent="0.45">
      <c r="G100" s="4" t="str">
        <f t="shared" si="7"/>
        <v>Buckling curves</v>
      </c>
      <c r="H100" s="4" t="str">
        <f t="shared" si="5"/>
        <v xml:space="preserve">Buckling curves - </v>
      </c>
      <c r="I100" s="5">
        <f t="shared" si="6"/>
        <v>0</v>
      </c>
      <c r="J100" s="5">
        <f t="shared" si="6"/>
        <v>0</v>
      </c>
    </row>
    <row r="101" spans="7:10" x14ac:dyDescent="0.45">
      <c r="G101" s="4" t="str">
        <f t="shared" si="7"/>
        <v>Buckling curves</v>
      </c>
      <c r="H101" s="4" t="str">
        <f t="shared" si="5"/>
        <v xml:space="preserve">Buckling curves - </v>
      </c>
      <c r="I101" s="5">
        <f t="shared" si="6"/>
        <v>0</v>
      </c>
      <c r="J101" s="5">
        <f t="shared" si="6"/>
        <v>0</v>
      </c>
    </row>
    <row r="102" spans="7:10" x14ac:dyDescent="0.45">
      <c r="G102" s="4" t="str">
        <f t="shared" si="7"/>
        <v>Buckling curves</v>
      </c>
      <c r="H102" s="4" t="str">
        <f t="shared" si="5"/>
        <v xml:space="preserve">Buckling curves - </v>
      </c>
      <c r="I102" s="5">
        <f t="shared" si="6"/>
        <v>0</v>
      </c>
      <c r="J102" s="5">
        <f t="shared" si="6"/>
        <v>0</v>
      </c>
    </row>
    <row r="103" spans="7:10" x14ac:dyDescent="0.45">
      <c r="G103" s="4" t="str">
        <f t="shared" si="7"/>
        <v>Buckling curves</v>
      </c>
      <c r="H103" s="4" t="str">
        <f t="shared" si="5"/>
        <v xml:space="preserve">Buckling curves - </v>
      </c>
      <c r="I103" s="5">
        <f t="shared" si="6"/>
        <v>0</v>
      </c>
      <c r="J103" s="5">
        <f t="shared" si="6"/>
        <v>0</v>
      </c>
    </row>
    <row r="104" spans="7:10" x14ac:dyDescent="0.45">
      <c r="G104" s="4" t="str">
        <f t="shared" si="7"/>
        <v>Buckling curves</v>
      </c>
      <c r="H104" s="4" t="str">
        <f t="shared" si="5"/>
        <v xml:space="preserve">Buckling curves - </v>
      </c>
      <c r="I104" s="5">
        <f t="shared" si="6"/>
        <v>0</v>
      </c>
      <c r="J104" s="5">
        <f t="shared" si="6"/>
        <v>0</v>
      </c>
    </row>
    <row r="105" spans="7:10" x14ac:dyDescent="0.45">
      <c r="G105" s="4" t="str">
        <f t="shared" si="7"/>
        <v>Buckling curves</v>
      </c>
      <c r="H105" s="4" t="str">
        <f t="shared" si="5"/>
        <v xml:space="preserve">Buckling curves - </v>
      </c>
      <c r="I105" s="5">
        <f t="shared" si="6"/>
        <v>0</v>
      </c>
      <c r="J105" s="5">
        <f t="shared" si="6"/>
        <v>0</v>
      </c>
    </row>
    <row r="106" spans="7:10" x14ac:dyDescent="0.45">
      <c r="G106" s="4" t="str">
        <f t="shared" si="7"/>
        <v>Buckling curves</v>
      </c>
      <c r="H106" s="4" t="str">
        <f t="shared" si="5"/>
        <v xml:space="preserve">Buckling curves - </v>
      </c>
      <c r="I106" s="5">
        <f t="shared" si="6"/>
        <v>0</v>
      </c>
      <c r="J106" s="5">
        <f t="shared" si="6"/>
        <v>0</v>
      </c>
    </row>
    <row r="107" spans="7:10" x14ac:dyDescent="0.45">
      <c r="G107" s="4" t="str">
        <f t="shared" si="7"/>
        <v>Buckling curves</v>
      </c>
      <c r="H107" s="4" t="str">
        <f t="shared" si="5"/>
        <v xml:space="preserve">Buckling curves - </v>
      </c>
      <c r="I107" s="5">
        <f t="shared" si="6"/>
        <v>0</v>
      </c>
      <c r="J107" s="5">
        <f t="shared" si="6"/>
        <v>0</v>
      </c>
    </row>
    <row r="108" spans="7:10" x14ac:dyDescent="0.45">
      <c r="G108" s="4" t="str">
        <f t="shared" si="7"/>
        <v>Buckling curves</v>
      </c>
      <c r="H108" s="4" t="str">
        <f t="shared" si="5"/>
        <v xml:space="preserve">Buckling curves - </v>
      </c>
      <c r="I108" s="5">
        <f t="shared" si="6"/>
        <v>0</v>
      </c>
      <c r="J108" s="5">
        <f t="shared" si="6"/>
        <v>0</v>
      </c>
    </row>
    <row r="109" spans="7:10" x14ac:dyDescent="0.45">
      <c r="G109" s="4" t="str">
        <f t="shared" si="7"/>
        <v>Buckling curves</v>
      </c>
      <c r="H109" s="4" t="str">
        <f t="shared" si="5"/>
        <v xml:space="preserve">Buckling curves - </v>
      </c>
      <c r="I109" s="5">
        <f t="shared" si="6"/>
        <v>0</v>
      </c>
      <c r="J109" s="5">
        <f t="shared" si="6"/>
        <v>0</v>
      </c>
    </row>
    <row r="110" spans="7:10" x14ac:dyDescent="0.45">
      <c r="G110" s="4" t="str">
        <f t="shared" si="7"/>
        <v>Buckling curves</v>
      </c>
      <c r="H110" s="4" t="str">
        <f t="shared" si="5"/>
        <v xml:space="preserve">Buckling curves - </v>
      </c>
      <c r="I110" s="5">
        <f t="shared" si="6"/>
        <v>0</v>
      </c>
      <c r="J110" s="5">
        <f t="shared" si="6"/>
        <v>0</v>
      </c>
    </row>
    <row r="111" spans="7:10" x14ac:dyDescent="0.45">
      <c r="G111" s="4" t="str">
        <f t="shared" si="7"/>
        <v>Buckling curves</v>
      </c>
      <c r="H111" s="4" t="str">
        <f t="shared" si="5"/>
        <v xml:space="preserve">Buckling curves - </v>
      </c>
      <c r="I111" s="5">
        <f t="shared" si="6"/>
        <v>0</v>
      </c>
      <c r="J111" s="5">
        <f t="shared" si="6"/>
        <v>0</v>
      </c>
    </row>
    <row r="112" spans="7:10" x14ac:dyDescent="0.45">
      <c r="G112" s="4" t="str">
        <f t="shared" si="7"/>
        <v>Buckling curves</v>
      </c>
      <c r="H112" s="4" t="str">
        <f t="shared" si="5"/>
        <v xml:space="preserve">Buckling curves - </v>
      </c>
      <c r="I112" s="5">
        <f t="shared" si="6"/>
        <v>0</v>
      </c>
      <c r="J112" s="5">
        <f t="shared" si="6"/>
        <v>0</v>
      </c>
    </row>
    <row r="113" spans="7:10" x14ac:dyDescent="0.45">
      <c r="G113" s="4" t="str">
        <f t="shared" si="7"/>
        <v>Buckling curves</v>
      </c>
      <c r="H113" s="4" t="str">
        <f t="shared" si="5"/>
        <v xml:space="preserve">Buckling curves - </v>
      </c>
      <c r="I113" s="5">
        <f t="shared" si="6"/>
        <v>0</v>
      </c>
      <c r="J113" s="5">
        <f t="shared" si="6"/>
        <v>0</v>
      </c>
    </row>
    <row r="114" spans="7:10" x14ac:dyDescent="0.45">
      <c r="G114" s="4" t="str">
        <f t="shared" si="7"/>
        <v>Buckling curves</v>
      </c>
      <c r="H114" s="4" t="str">
        <f t="shared" si="5"/>
        <v xml:space="preserve">Buckling curves - </v>
      </c>
      <c r="I114" s="5">
        <f t="shared" si="6"/>
        <v>0</v>
      </c>
      <c r="J114" s="5">
        <f t="shared" si="6"/>
        <v>0</v>
      </c>
    </row>
    <row r="115" spans="7:10" x14ac:dyDescent="0.45">
      <c r="G115" s="4" t="str">
        <f t="shared" si="7"/>
        <v>Buckling curves</v>
      </c>
      <c r="H115" s="4" t="str">
        <f t="shared" si="5"/>
        <v xml:space="preserve">Buckling curves - </v>
      </c>
      <c r="I115" s="5">
        <f t="shared" si="6"/>
        <v>0</v>
      </c>
      <c r="J115" s="5">
        <f t="shared" si="6"/>
        <v>0</v>
      </c>
    </row>
    <row r="116" spans="7:10" x14ac:dyDescent="0.45">
      <c r="G116" s="4" t="str">
        <f t="shared" si="7"/>
        <v>Buckling curves</v>
      </c>
      <c r="H116" s="4" t="str">
        <f t="shared" si="5"/>
        <v xml:space="preserve">Buckling curves - </v>
      </c>
      <c r="I116" s="5">
        <f t="shared" si="6"/>
        <v>0</v>
      </c>
      <c r="J116" s="5">
        <f t="shared" si="6"/>
        <v>0</v>
      </c>
    </row>
    <row r="117" spans="7:10" x14ac:dyDescent="0.45">
      <c r="G117" s="4" t="str">
        <f t="shared" si="7"/>
        <v>Buckling curves</v>
      </c>
      <c r="H117" s="4" t="str">
        <f t="shared" si="5"/>
        <v xml:space="preserve">Buckling curves - </v>
      </c>
      <c r="I117" s="5">
        <f t="shared" si="6"/>
        <v>0</v>
      </c>
      <c r="J117" s="5">
        <f t="shared" si="6"/>
        <v>0</v>
      </c>
    </row>
    <row r="118" spans="7:10" x14ac:dyDescent="0.45">
      <c r="G118" s="4" t="str">
        <f t="shared" si="7"/>
        <v>Buckling curves</v>
      </c>
      <c r="H118" s="4" t="str">
        <f t="shared" si="5"/>
        <v xml:space="preserve">Buckling curves - </v>
      </c>
      <c r="I118" s="5">
        <f t="shared" si="6"/>
        <v>0</v>
      </c>
      <c r="J118" s="5">
        <f t="shared" si="6"/>
        <v>0</v>
      </c>
    </row>
    <row r="119" spans="7:10" x14ac:dyDescent="0.45">
      <c r="G119" s="4" t="str">
        <f t="shared" si="7"/>
        <v>Buckling curves</v>
      </c>
      <c r="H119" s="4" t="str">
        <f t="shared" si="5"/>
        <v xml:space="preserve">Buckling curves - </v>
      </c>
      <c r="I119" s="5">
        <f t="shared" si="6"/>
        <v>0</v>
      </c>
      <c r="J119" s="5">
        <f t="shared" si="6"/>
        <v>0</v>
      </c>
    </row>
    <row r="120" spans="7:10" x14ac:dyDescent="0.45">
      <c r="G120" s="4" t="str">
        <f t="shared" si="7"/>
        <v>Buckling curves</v>
      </c>
      <c r="H120" s="4" t="str">
        <f t="shared" si="5"/>
        <v xml:space="preserve">Buckling curves - </v>
      </c>
      <c r="I120" s="5">
        <f t="shared" si="6"/>
        <v>0</v>
      </c>
      <c r="J120" s="5">
        <f t="shared" si="6"/>
        <v>0</v>
      </c>
    </row>
    <row r="121" spans="7:10" x14ac:dyDescent="0.45">
      <c r="G121" s="4" t="str">
        <f t="shared" si="7"/>
        <v>Buckling curves</v>
      </c>
      <c r="H121" s="4" t="str">
        <f t="shared" si="5"/>
        <v xml:space="preserve">Buckling curves - </v>
      </c>
      <c r="I121" s="5">
        <f t="shared" si="6"/>
        <v>0</v>
      </c>
      <c r="J121" s="5">
        <f t="shared" si="6"/>
        <v>0</v>
      </c>
    </row>
    <row r="122" spans="7:10" x14ac:dyDescent="0.45">
      <c r="G122" s="4" t="str">
        <f t="shared" si="7"/>
        <v>Buckling curves</v>
      </c>
      <c r="H122" s="4" t="str">
        <f t="shared" si="5"/>
        <v xml:space="preserve">Buckling curves - </v>
      </c>
      <c r="I122" s="5">
        <f t="shared" si="6"/>
        <v>0</v>
      </c>
      <c r="J122" s="5">
        <f t="shared" si="6"/>
        <v>0</v>
      </c>
    </row>
    <row r="123" spans="7:10" x14ac:dyDescent="0.45">
      <c r="G123" s="4" t="str">
        <f t="shared" si="7"/>
        <v>Buckling curves</v>
      </c>
      <c r="H123" s="4" t="str">
        <f t="shared" si="5"/>
        <v xml:space="preserve">Buckling curves - </v>
      </c>
      <c r="I123" s="5">
        <f t="shared" si="6"/>
        <v>0</v>
      </c>
      <c r="J123" s="5">
        <f t="shared" si="6"/>
        <v>0</v>
      </c>
    </row>
    <row r="124" spans="7:10" x14ac:dyDescent="0.45">
      <c r="G124" s="4" t="str">
        <f t="shared" si="7"/>
        <v>Buckling curves</v>
      </c>
      <c r="H124" s="4" t="str">
        <f t="shared" si="5"/>
        <v xml:space="preserve">Buckling curves - </v>
      </c>
      <c r="I124" s="5">
        <f t="shared" si="6"/>
        <v>0</v>
      </c>
      <c r="J124" s="5">
        <f t="shared" si="6"/>
        <v>0</v>
      </c>
    </row>
    <row r="125" spans="7:10" x14ac:dyDescent="0.45">
      <c r="G125" s="4" t="str">
        <f t="shared" si="7"/>
        <v>Buckling curves</v>
      </c>
      <c r="H125" s="4" t="str">
        <f t="shared" si="5"/>
        <v xml:space="preserve">Buckling curves - </v>
      </c>
      <c r="I125" s="5">
        <f t="shared" si="6"/>
        <v>0</v>
      </c>
      <c r="J125" s="5">
        <f t="shared" si="6"/>
        <v>0</v>
      </c>
    </row>
    <row r="126" spans="7:10" x14ac:dyDescent="0.45">
      <c r="G126" s="4" t="str">
        <f t="shared" si="7"/>
        <v>Buckling curves</v>
      </c>
      <c r="H126" s="4" t="str">
        <f t="shared" si="5"/>
        <v xml:space="preserve">Buckling curves - </v>
      </c>
      <c r="I126" s="5">
        <f t="shared" si="6"/>
        <v>0</v>
      </c>
      <c r="J126" s="5">
        <f t="shared" si="6"/>
        <v>0</v>
      </c>
    </row>
    <row r="127" spans="7:10" x14ac:dyDescent="0.45">
      <c r="G127" s="4" t="str">
        <f t="shared" si="7"/>
        <v>Buckling curves</v>
      </c>
      <c r="H127" s="4" t="str">
        <f t="shared" si="5"/>
        <v xml:space="preserve">Buckling curves - </v>
      </c>
      <c r="I127" s="5">
        <f t="shared" si="6"/>
        <v>0</v>
      </c>
      <c r="J127" s="5">
        <f t="shared" si="6"/>
        <v>0</v>
      </c>
    </row>
    <row r="128" spans="7:10" x14ac:dyDescent="0.45">
      <c r="G128" s="4" t="str">
        <f t="shared" si="7"/>
        <v>Buckling curves</v>
      </c>
      <c r="H128" s="4" t="str">
        <f t="shared" si="5"/>
        <v xml:space="preserve">Buckling curves - </v>
      </c>
      <c r="I128" s="5">
        <f t="shared" si="6"/>
        <v>0</v>
      </c>
      <c r="J128" s="5">
        <f t="shared" si="6"/>
        <v>0</v>
      </c>
    </row>
    <row r="129" spans="7:10" x14ac:dyDescent="0.45">
      <c r="G129" s="4" t="str">
        <f t="shared" si="7"/>
        <v>Buckling curves</v>
      </c>
      <c r="H129" s="4" t="str">
        <f t="shared" si="5"/>
        <v xml:space="preserve">Buckling curves - </v>
      </c>
      <c r="I129" s="5">
        <f t="shared" si="6"/>
        <v>0</v>
      </c>
      <c r="J129" s="5">
        <f t="shared" si="6"/>
        <v>0</v>
      </c>
    </row>
    <row r="130" spans="7:10" x14ac:dyDescent="0.45">
      <c r="G130" s="4" t="str">
        <f t="shared" si="7"/>
        <v>Buckling curves</v>
      </c>
      <c r="H130" s="4" t="str">
        <f t="shared" si="5"/>
        <v xml:space="preserve">Buckling curves - </v>
      </c>
      <c r="I130" s="5">
        <f t="shared" si="6"/>
        <v>0</v>
      </c>
      <c r="J130" s="5">
        <f t="shared" si="6"/>
        <v>0</v>
      </c>
    </row>
    <row r="131" spans="7:10" x14ac:dyDescent="0.45">
      <c r="G131" s="4" t="str">
        <f t="shared" si="7"/>
        <v>Buckling curves</v>
      </c>
      <c r="H131" s="4" t="str">
        <f t="shared" si="5"/>
        <v xml:space="preserve">Buckling curves - </v>
      </c>
      <c r="I131" s="5">
        <f t="shared" si="6"/>
        <v>0</v>
      </c>
      <c r="J131" s="5">
        <f t="shared" si="6"/>
        <v>0</v>
      </c>
    </row>
    <row r="132" spans="7:10" x14ac:dyDescent="0.45">
      <c r="G132" s="4" t="str">
        <f t="shared" si="7"/>
        <v>Buckling curves</v>
      </c>
      <c r="H132" s="4" t="str">
        <f t="shared" ref="H132:H195" si="8">G132&amp;" - "&amp;B132</f>
        <v xml:space="preserve">Buckling curves - </v>
      </c>
      <c r="I132" s="5">
        <f t="shared" ref="I132:J195" si="9">B132</f>
        <v>0</v>
      </c>
      <c r="J132" s="5">
        <f t="shared" si="9"/>
        <v>0</v>
      </c>
    </row>
    <row r="133" spans="7:10" x14ac:dyDescent="0.45">
      <c r="G133" s="4" t="str">
        <f t="shared" ref="G133:G196" si="10">IF(A133="",G132,A133)</f>
        <v>Buckling curves</v>
      </c>
      <c r="H133" s="4" t="str">
        <f t="shared" si="8"/>
        <v xml:space="preserve">Buckling curves - </v>
      </c>
      <c r="I133" s="5">
        <f t="shared" si="9"/>
        <v>0</v>
      </c>
      <c r="J133" s="5">
        <f t="shared" si="9"/>
        <v>0</v>
      </c>
    </row>
    <row r="134" spans="7:10" x14ac:dyDescent="0.45">
      <c r="G134" s="4" t="str">
        <f t="shared" si="10"/>
        <v>Buckling curves</v>
      </c>
      <c r="H134" s="4" t="str">
        <f t="shared" si="8"/>
        <v xml:space="preserve">Buckling curves - </v>
      </c>
      <c r="I134" s="5">
        <f t="shared" si="9"/>
        <v>0</v>
      </c>
      <c r="J134" s="5">
        <f t="shared" si="9"/>
        <v>0</v>
      </c>
    </row>
    <row r="135" spans="7:10" x14ac:dyDescent="0.45">
      <c r="G135" s="4" t="str">
        <f t="shared" si="10"/>
        <v>Buckling curves</v>
      </c>
      <c r="H135" s="4" t="str">
        <f t="shared" si="8"/>
        <v xml:space="preserve">Buckling curves - </v>
      </c>
      <c r="I135" s="5">
        <f t="shared" si="9"/>
        <v>0</v>
      </c>
      <c r="J135" s="5">
        <f t="shared" si="9"/>
        <v>0</v>
      </c>
    </row>
    <row r="136" spans="7:10" x14ac:dyDescent="0.45">
      <c r="G136" s="4" t="str">
        <f t="shared" si="10"/>
        <v>Buckling curves</v>
      </c>
      <c r="H136" s="4" t="str">
        <f t="shared" si="8"/>
        <v xml:space="preserve">Buckling curves - </v>
      </c>
      <c r="I136" s="5">
        <f t="shared" si="9"/>
        <v>0</v>
      </c>
      <c r="J136" s="5">
        <f t="shared" si="9"/>
        <v>0</v>
      </c>
    </row>
    <row r="137" spans="7:10" x14ac:dyDescent="0.45">
      <c r="G137" s="4" t="str">
        <f t="shared" si="10"/>
        <v>Buckling curves</v>
      </c>
      <c r="H137" s="4" t="str">
        <f t="shared" si="8"/>
        <v xml:space="preserve">Buckling curves - </v>
      </c>
      <c r="I137" s="5">
        <f t="shared" si="9"/>
        <v>0</v>
      </c>
      <c r="J137" s="5">
        <f t="shared" si="9"/>
        <v>0</v>
      </c>
    </row>
    <row r="138" spans="7:10" x14ac:dyDescent="0.45">
      <c r="G138" s="4" t="str">
        <f t="shared" si="10"/>
        <v>Buckling curves</v>
      </c>
      <c r="H138" s="4" t="str">
        <f t="shared" si="8"/>
        <v xml:space="preserve">Buckling curves - </v>
      </c>
      <c r="I138" s="5">
        <f t="shared" si="9"/>
        <v>0</v>
      </c>
      <c r="J138" s="5">
        <f t="shared" si="9"/>
        <v>0</v>
      </c>
    </row>
    <row r="139" spans="7:10" x14ac:dyDescent="0.45">
      <c r="G139" s="4" t="str">
        <f t="shared" si="10"/>
        <v>Buckling curves</v>
      </c>
      <c r="H139" s="4" t="str">
        <f t="shared" si="8"/>
        <v xml:space="preserve">Buckling curves - </v>
      </c>
      <c r="I139" s="5">
        <f t="shared" si="9"/>
        <v>0</v>
      </c>
      <c r="J139" s="5">
        <f t="shared" si="9"/>
        <v>0</v>
      </c>
    </row>
    <row r="140" spans="7:10" x14ac:dyDescent="0.45">
      <c r="G140" s="4" t="str">
        <f t="shared" si="10"/>
        <v>Buckling curves</v>
      </c>
      <c r="H140" s="4" t="str">
        <f t="shared" si="8"/>
        <v xml:space="preserve">Buckling curves - </v>
      </c>
      <c r="I140" s="5">
        <f t="shared" si="9"/>
        <v>0</v>
      </c>
      <c r="J140" s="5">
        <f t="shared" si="9"/>
        <v>0</v>
      </c>
    </row>
    <row r="141" spans="7:10" x14ac:dyDescent="0.45">
      <c r="G141" s="4" t="str">
        <f t="shared" si="10"/>
        <v>Buckling curves</v>
      </c>
      <c r="H141" s="4" t="str">
        <f t="shared" si="8"/>
        <v xml:space="preserve">Buckling curves - </v>
      </c>
      <c r="I141" s="5">
        <f t="shared" si="9"/>
        <v>0</v>
      </c>
      <c r="J141" s="5">
        <f t="shared" si="9"/>
        <v>0</v>
      </c>
    </row>
    <row r="142" spans="7:10" x14ac:dyDescent="0.45">
      <c r="G142" s="4" t="str">
        <f t="shared" si="10"/>
        <v>Buckling curves</v>
      </c>
      <c r="H142" s="4" t="str">
        <f t="shared" si="8"/>
        <v xml:space="preserve">Buckling curves - </v>
      </c>
      <c r="I142" s="5">
        <f t="shared" si="9"/>
        <v>0</v>
      </c>
      <c r="J142" s="5">
        <f t="shared" si="9"/>
        <v>0</v>
      </c>
    </row>
    <row r="143" spans="7:10" x14ac:dyDescent="0.45">
      <c r="G143" s="4" t="str">
        <f t="shared" si="10"/>
        <v>Buckling curves</v>
      </c>
      <c r="H143" s="4" t="str">
        <f t="shared" si="8"/>
        <v xml:space="preserve">Buckling curves - </v>
      </c>
      <c r="I143" s="5">
        <f t="shared" si="9"/>
        <v>0</v>
      </c>
      <c r="J143" s="5">
        <f t="shared" si="9"/>
        <v>0</v>
      </c>
    </row>
    <row r="144" spans="7:10" x14ac:dyDescent="0.45">
      <c r="G144" s="4" t="str">
        <f t="shared" si="10"/>
        <v>Buckling curves</v>
      </c>
      <c r="H144" s="4" t="str">
        <f t="shared" si="8"/>
        <v xml:space="preserve">Buckling curves - </v>
      </c>
      <c r="I144" s="5">
        <f t="shared" si="9"/>
        <v>0</v>
      </c>
      <c r="J144" s="5">
        <f t="shared" si="9"/>
        <v>0</v>
      </c>
    </row>
    <row r="145" spans="7:10" x14ac:dyDescent="0.45">
      <c r="G145" s="4" t="str">
        <f t="shared" si="10"/>
        <v>Buckling curves</v>
      </c>
      <c r="H145" s="4" t="str">
        <f t="shared" si="8"/>
        <v xml:space="preserve">Buckling curves - </v>
      </c>
      <c r="I145" s="5">
        <f t="shared" si="9"/>
        <v>0</v>
      </c>
      <c r="J145" s="5">
        <f t="shared" si="9"/>
        <v>0</v>
      </c>
    </row>
    <row r="146" spans="7:10" x14ac:dyDescent="0.45">
      <c r="G146" s="4" t="str">
        <f t="shared" si="10"/>
        <v>Buckling curves</v>
      </c>
      <c r="H146" s="4" t="str">
        <f t="shared" si="8"/>
        <v xml:space="preserve">Buckling curves - </v>
      </c>
      <c r="I146" s="5">
        <f t="shared" si="9"/>
        <v>0</v>
      </c>
      <c r="J146" s="5">
        <f t="shared" si="9"/>
        <v>0</v>
      </c>
    </row>
    <row r="147" spans="7:10" x14ac:dyDescent="0.45">
      <c r="G147" s="4" t="str">
        <f t="shared" si="10"/>
        <v>Buckling curves</v>
      </c>
      <c r="H147" s="4" t="str">
        <f t="shared" si="8"/>
        <v xml:space="preserve">Buckling curves - </v>
      </c>
      <c r="I147" s="5">
        <f t="shared" si="9"/>
        <v>0</v>
      </c>
      <c r="J147" s="5">
        <f t="shared" si="9"/>
        <v>0</v>
      </c>
    </row>
    <row r="148" spans="7:10" x14ac:dyDescent="0.45">
      <c r="G148" s="4" t="str">
        <f t="shared" si="10"/>
        <v>Buckling curves</v>
      </c>
      <c r="H148" s="4" t="str">
        <f t="shared" si="8"/>
        <v xml:space="preserve">Buckling curves - </v>
      </c>
      <c r="I148" s="5">
        <f t="shared" si="9"/>
        <v>0</v>
      </c>
      <c r="J148" s="5">
        <f t="shared" si="9"/>
        <v>0</v>
      </c>
    </row>
    <row r="149" spans="7:10" x14ac:dyDescent="0.45">
      <c r="G149" s="4" t="str">
        <f t="shared" si="10"/>
        <v>Buckling curves</v>
      </c>
      <c r="H149" s="4" t="str">
        <f t="shared" si="8"/>
        <v xml:space="preserve">Buckling curves - </v>
      </c>
      <c r="I149" s="5">
        <f t="shared" si="9"/>
        <v>0</v>
      </c>
      <c r="J149" s="5">
        <f t="shared" si="9"/>
        <v>0</v>
      </c>
    </row>
    <row r="150" spans="7:10" x14ac:dyDescent="0.45">
      <c r="G150" s="4" t="str">
        <f t="shared" si="10"/>
        <v>Buckling curves</v>
      </c>
      <c r="H150" s="4" t="str">
        <f t="shared" si="8"/>
        <v xml:space="preserve">Buckling curves - </v>
      </c>
      <c r="I150" s="5">
        <f t="shared" si="9"/>
        <v>0</v>
      </c>
      <c r="J150" s="5">
        <f t="shared" si="9"/>
        <v>0</v>
      </c>
    </row>
    <row r="151" spans="7:10" x14ac:dyDescent="0.45">
      <c r="G151" s="4" t="str">
        <f t="shared" si="10"/>
        <v>Buckling curves</v>
      </c>
      <c r="H151" s="4" t="str">
        <f t="shared" si="8"/>
        <v xml:space="preserve">Buckling curves - </v>
      </c>
      <c r="I151" s="5">
        <f t="shared" si="9"/>
        <v>0</v>
      </c>
      <c r="J151" s="5">
        <f t="shared" si="9"/>
        <v>0</v>
      </c>
    </row>
    <row r="152" spans="7:10" x14ac:dyDescent="0.45">
      <c r="G152" s="4" t="str">
        <f t="shared" si="10"/>
        <v>Buckling curves</v>
      </c>
      <c r="H152" s="4" t="str">
        <f t="shared" si="8"/>
        <v xml:space="preserve">Buckling curves - </v>
      </c>
      <c r="I152" s="5">
        <f t="shared" si="9"/>
        <v>0</v>
      </c>
      <c r="J152" s="5">
        <f t="shared" si="9"/>
        <v>0</v>
      </c>
    </row>
    <row r="153" spans="7:10" x14ac:dyDescent="0.45">
      <c r="G153" s="4" t="str">
        <f t="shared" si="10"/>
        <v>Buckling curves</v>
      </c>
      <c r="H153" s="4" t="str">
        <f t="shared" si="8"/>
        <v xml:space="preserve">Buckling curves - </v>
      </c>
      <c r="I153" s="5">
        <f t="shared" si="9"/>
        <v>0</v>
      </c>
      <c r="J153" s="5">
        <f t="shared" si="9"/>
        <v>0</v>
      </c>
    </row>
    <row r="154" spans="7:10" x14ac:dyDescent="0.45">
      <c r="G154" s="4" t="str">
        <f t="shared" si="10"/>
        <v>Buckling curves</v>
      </c>
      <c r="H154" s="4" t="str">
        <f t="shared" si="8"/>
        <v xml:space="preserve">Buckling curves - </v>
      </c>
      <c r="I154" s="5">
        <f t="shared" si="9"/>
        <v>0</v>
      </c>
      <c r="J154" s="5">
        <f t="shared" si="9"/>
        <v>0</v>
      </c>
    </row>
    <row r="155" spans="7:10" x14ac:dyDescent="0.45">
      <c r="G155" s="4" t="str">
        <f t="shared" si="10"/>
        <v>Buckling curves</v>
      </c>
      <c r="H155" s="4" t="str">
        <f t="shared" si="8"/>
        <v xml:space="preserve">Buckling curves - </v>
      </c>
      <c r="I155" s="5">
        <f t="shared" si="9"/>
        <v>0</v>
      </c>
      <c r="J155" s="5">
        <f t="shared" si="9"/>
        <v>0</v>
      </c>
    </row>
    <row r="156" spans="7:10" x14ac:dyDescent="0.45">
      <c r="G156" s="4" t="str">
        <f t="shared" si="10"/>
        <v>Buckling curves</v>
      </c>
      <c r="H156" s="4" t="str">
        <f t="shared" si="8"/>
        <v xml:space="preserve">Buckling curves - </v>
      </c>
      <c r="I156" s="5">
        <f t="shared" si="9"/>
        <v>0</v>
      </c>
      <c r="J156" s="5">
        <f t="shared" si="9"/>
        <v>0</v>
      </c>
    </row>
    <row r="157" spans="7:10" x14ac:dyDescent="0.45">
      <c r="G157" s="4" t="str">
        <f t="shared" si="10"/>
        <v>Buckling curves</v>
      </c>
      <c r="H157" s="4" t="str">
        <f t="shared" si="8"/>
        <v xml:space="preserve">Buckling curves - </v>
      </c>
      <c r="I157" s="5">
        <f t="shared" si="9"/>
        <v>0</v>
      </c>
      <c r="J157" s="5">
        <f t="shared" si="9"/>
        <v>0</v>
      </c>
    </row>
    <row r="158" spans="7:10" x14ac:dyDescent="0.45">
      <c r="G158" s="4" t="str">
        <f t="shared" si="10"/>
        <v>Buckling curves</v>
      </c>
      <c r="H158" s="4" t="str">
        <f t="shared" si="8"/>
        <v xml:space="preserve">Buckling curves - </v>
      </c>
      <c r="I158" s="5">
        <f t="shared" si="9"/>
        <v>0</v>
      </c>
      <c r="J158" s="5">
        <f t="shared" si="9"/>
        <v>0</v>
      </c>
    </row>
    <row r="159" spans="7:10" x14ac:dyDescent="0.45">
      <c r="G159" s="4" t="str">
        <f t="shared" si="10"/>
        <v>Buckling curves</v>
      </c>
      <c r="H159" s="4" t="str">
        <f t="shared" si="8"/>
        <v xml:space="preserve">Buckling curves - </v>
      </c>
      <c r="I159" s="5">
        <f t="shared" si="9"/>
        <v>0</v>
      </c>
      <c r="J159" s="5">
        <f t="shared" si="9"/>
        <v>0</v>
      </c>
    </row>
    <row r="160" spans="7:10" x14ac:dyDescent="0.45">
      <c r="G160" s="4" t="str">
        <f t="shared" si="10"/>
        <v>Buckling curves</v>
      </c>
      <c r="H160" s="4" t="str">
        <f t="shared" si="8"/>
        <v xml:space="preserve">Buckling curves - </v>
      </c>
      <c r="I160" s="5">
        <f t="shared" si="9"/>
        <v>0</v>
      </c>
      <c r="J160" s="5">
        <f t="shared" si="9"/>
        <v>0</v>
      </c>
    </row>
    <row r="161" spans="7:10" x14ac:dyDescent="0.45">
      <c r="G161" s="4" t="str">
        <f t="shared" si="10"/>
        <v>Buckling curves</v>
      </c>
      <c r="H161" s="4" t="str">
        <f t="shared" si="8"/>
        <v xml:space="preserve">Buckling curves - </v>
      </c>
      <c r="I161" s="5">
        <f t="shared" si="9"/>
        <v>0</v>
      </c>
      <c r="J161" s="5">
        <f t="shared" si="9"/>
        <v>0</v>
      </c>
    </row>
    <row r="162" spans="7:10" x14ac:dyDescent="0.45">
      <c r="G162" s="4" t="str">
        <f t="shared" si="10"/>
        <v>Buckling curves</v>
      </c>
      <c r="H162" s="4" t="str">
        <f t="shared" si="8"/>
        <v xml:space="preserve">Buckling curves - </v>
      </c>
      <c r="I162" s="5">
        <f t="shared" si="9"/>
        <v>0</v>
      </c>
      <c r="J162" s="5">
        <f t="shared" si="9"/>
        <v>0</v>
      </c>
    </row>
    <row r="163" spans="7:10" x14ac:dyDescent="0.45">
      <c r="G163" s="4" t="str">
        <f t="shared" si="10"/>
        <v>Buckling curves</v>
      </c>
      <c r="H163" s="4" t="str">
        <f t="shared" si="8"/>
        <v xml:space="preserve">Buckling curves - </v>
      </c>
      <c r="I163" s="5">
        <f t="shared" si="9"/>
        <v>0</v>
      </c>
      <c r="J163" s="5">
        <f t="shared" si="9"/>
        <v>0</v>
      </c>
    </row>
    <row r="164" spans="7:10" x14ac:dyDescent="0.45">
      <c r="G164" s="4" t="str">
        <f t="shared" si="10"/>
        <v>Buckling curves</v>
      </c>
      <c r="H164" s="4" t="str">
        <f t="shared" si="8"/>
        <v xml:space="preserve">Buckling curves - </v>
      </c>
      <c r="I164" s="5">
        <f t="shared" si="9"/>
        <v>0</v>
      </c>
      <c r="J164" s="5">
        <f t="shared" si="9"/>
        <v>0</v>
      </c>
    </row>
    <row r="165" spans="7:10" x14ac:dyDescent="0.45">
      <c r="G165" s="4" t="str">
        <f t="shared" si="10"/>
        <v>Buckling curves</v>
      </c>
      <c r="H165" s="4" t="str">
        <f t="shared" si="8"/>
        <v xml:space="preserve">Buckling curves - </v>
      </c>
      <c r="I165" s="5">
        <f t="shared" si="9"/>
        <v>0</v>
      </c>
      <c r="J165" s="5">
        <f t="shared" si="9"/>
        <v>0</v>
      </c>
    </row>
    <row r="166" spans="7:10" x14ac:dyDescent="0.45">
      <c r="G166" s="4" t="str">
        <f t="shared" si="10"/>
        <v>Buckling curves</v>
      </c>
      <c r="H166" s="4" t="str">
        <f t="shared" si="8"/>
        <v xml:space="preserve">Buckling curves - </v>
      </c>
      <c r="I166" s="5">
        <f t="shared" si="9"/>
        <v>0</v>
      </c>
      <c r="J166" s="5">
        <f t="shared" si="9"/>
        <v>0</v>
      </c>
    </row>
    <row r="167" spans="7:10" x14ac:dyDescent="0.45">
      <c r="G167" s="4" t="str">
        <f t="shared" si="10"/>
        <v>Buckling curves</v>
      </c>
      <c r="H167" s="4" t="str">
        <f t="shared" si="8"/>
        <v xml:space="preserve">Buckling curves - </v>
      </c>
      <c r="I167" s="5">
        <f t="shared" si="9"/>
        <v>0</v>
      </c>
      <c r="J167" s="5">
        <f t="shared" si="9"/>
        <v>0</v>
      </c>
    </row>
    <row r="168" spans="7:10" x14ac:dyDescent="0.45">
      <c r="G168" s="4" t="str">
        <f t="shared" si="10"/>
        <v>Buckling curves</v>
      </c>
      <c r="H168" s="4" t="str">
        <f t="shared" si="8"/>
        <v xml:space="preserve">Buckling curves - </v>
      </c>
      <c r="I168" s="5">
        <f t="shared" si="9"/>
        <v>0</v>
      </c>
      <c r="J168" s="5">
        <f t="shared" si="9"/>
        <v>0</v>
      </c>
    </row>
    <row r="169" spans="7:10" x14ac:dyDescent="0.45">
      <c r="G169" s="4" t="str">
        <f t="shared" si="10"/>
        <v>Buckling curves</v>
      </c>
      <c r="H169" s="4" t="str">
        <f t="shared" si="8"/>
        <v xml:space="preserve">Buckling curves - </v>
      </c>
      <c r="I169" s="5">
        <f t="shared" si="9"/>
        <v>0</v>
      </c>
      <c r="J169" s="5">
        <f t="shared" si="9"/>
        <v>0</v>
      </c>
    </row>
    <row r="170" spans="7:10" x14ac:dyDescent="0.45">
      <c r="G170" s="4" t="str">
        <f t="shared" si="10"/>
        <v>Buckling curves</v>
      </c>
      <c r="H170" s="4" t="str">
        <f t="shared" si="8"/>
        <v xml:space="preserve">Buckling curves - </v>
      </c>
      <c r="I170" s="5">
        <f t="shared" si="9"/>
        <v>0</v>
      </c>
      <c r="J170" s="5">
        <f t="shared" si="9"/>
        <v>0</v>
      </c>
    </row>
    <row r="171" spans="7:10" x14ac:dyDescent="0.45">
      <c r="G171" s="4" t="str">
        <f t="shared" si="10"/>
        <v>Buckling curves</v>
      </c>
      <c r="H171" s="4" t="str">
        <f t="shared" si="8"/>
        <v xml:space="preserve">Buckling curves - </v>
      </c>
      <c r="I171" s="5">
        <f t="shared" si="9"/>
        <v>0</v>
      </c>
      <c r="J171" s="5">
        <f t="shared" si="9"/>
        <v>0</v>
      </c>
    </row>
    <row r="172" spans="7:10" x14ac:dyDescent="0.45">
      <c r="G172" s="4" t="str">
        <f t="shared" si="10"/>
        <v>Buckling curves</v>
      </c>
      <c r="H172" s="4" t="str">
        <f t="shared" si="8"/>
        <v xml:space="preserve">Buckling curves - </v>
      </c>
      <c r="I172" s="5">
        <f t="shared" si="9"/>
        <v>0</v>
      </c>
      <c r="J172" s="5">
        <f t="shared" si="9"/>
        <v>0</v>
      </c>
    </row>
    <row r="173" spans="7:10" x14ac:dyDescent="0.45">
      <c r="G173" s="4" t="str">
        <f t="shared" si="10"/>
        <v>Buckling curves</v>
      </c>
      <c r="H173" s="4" t="str">
        <f t="shared" si="8"/>
        <v xml:space="preserve">Buckling curves - </v>
      </c>
      <c r="I173" s="5">
        <f t="shared" si="9"/>
        <v>0</v>
      </c>
      <c r="J173" s="5">
        <f t="shared" si="9"/>
        <v>0</v>
      </c>
    </row>
    <row r="174" spans="7:10" x14ac:dyDescent="0.45">
      <c r="G174" s="4" t="str">
        <f t="shared" si="10"/>
        <v>Buckling curves</v>
      </c>
      <c r="H174" s="4" t="str">
        <f t="shared" si="8"/>
        <v xml:space="preserve">Buckling curves - </v>
      </c>
      <c r="I174" s="5">
        <f t="shared" si="9"/>
        <v>0</v>
      </c>
      <c r="J174" s="5">
        <f t="shared" si="9"/>
        <v>0</v>
      </c>
    </row>
    <row r="175" spans="7:10" x14ac:dyDescent="0.45">
      <c r="G175" s="4" t="str">
        <f t="shared" si="10"/>
        <v>Buckling curves</v>
      </c>
      <c r="H175" s="4" t="str">
        <f t="shared" si="8"/>
        <v xml:space="preserve">Buckling curves - </v>
      </c>
      <c r="I175" s="5">
        <f t="shared" si="9"/>
        <v>0</v>
      </c>
      <c r="J175" s="5">
        <f t="shared" si="9"/>
        <v>0</v>
      </c>
    </row>
    <row r="176" spans="7:10" x14ac:dyDescent="0.45">
      <c r="G176" s="4" t="str">
        <f t="shared" si="10"/>
        <v>Buckling curves</v>
      </c>
      <c r="H176" s="4" t="str">
        <f t="shared" si="8"/>
        <v xml:space="preserve">Buckling curves - </v>
      </c>
      <c r="I176" s="5">
        <f t="shared" si="9"/>
        <v>0</v>
      </c>
      <c r="J176" s="5">
        <f t="shared" si="9"/>
        <v>0</v>
      </c>
    </row>
    <row r="177" spans="7:10" x14ac:dyDescent="0.45">
      <c r="G177" s="4" t="str">
        <f t="shared" si="10"/>
        <v>Buckling curves</v>
      </c>
      <c r="H177" s="4" t="str">
        <f t="shared" si="8"/>
        <v xml:space="preserve">Buckling curves - </v>
      </c>
      <c r="I177" s="5">
        <f t="shared" si="9"/>
        <v>0</v>
      </c>
      <c r="J177" s="5">
        <f t="shared" si="9"/>
        <v>0</v>
      </c>
    </row>
    <row r="178" spans="7:10" x14ac:dyDescent="0.45">
      <c r="G178" s="4" t="str">
        <f t="shared" si="10"/>
        <v>Buckling curves</v>
      </c>
      <c r="H178" s="4" t="str">
        <f t="shared" si="8"/>
        <v xml:space="preserve">Buckling curves - </v>
      </c>
      <c r="I178" s="5">
        <f t="shared" si="9"/>
        <v>0</v>
      </c>
      <c r="J178" s="5">
        <f t="shared" si="9"/>
        <v>0</v>
      </c>
    </row>
    <row r="179" spans="7:10" x14ac:dyDescent="0.45">
      <c r="G179" s="4" t="str">
        <f t="shared" si="10"/>
        <v>Buckling curves</v>
      </c>
      <c r="H179" s="4" t="str">
        <f t="shared" si="8"/>
        <v xml:space="preserve">Buckling curves - </v>
      </c>
      <c r="I179" s="5">
        <f t="shared" si="9"/>
        <v>0</v>
      </c>
      <c r="J179" s="5">
        <f t="shared" si="9"/>
        <v>0</v>
      </c>
    </row>
    <row r="180" spans="7:10" x14ac:dyDescent="0.45">
      <c r="G180" s="4" t="str">
        <f t="shared" si="10"/>
        <v>Buckling curves</v>
      </c>
      <c r="H180" s="4" t="str">
        <f t="shared" si="8"/>
        <v xml:space="preserve">Buckling curves - </v>
      </c>
      <c r="I180" s="5">
        <f t="shared" si="9"/>
        <v>0</v>
      </c>
      <c r="J180" s="5">
        <f t="shared" si="9"/>
        <v>0</v>
      </c>
    </row>
    <row r="181" spans="7:10" x14ac:dyDescent="0.45">
      <c r="G181" s="4" t="str">
        <f t="shared" si="10"/>
        <v>Buckling curves</v>
      </c>
      <c r="H181" s="4" t="str">
        <f t="shared" si="8"/>
        <v xml:space="preserve">Buckling curves - </v>
      </c>
      <c r="I181" s="5">
        <f t="shared" si="9"/>
        <v>0</v>
      </c>
      <c r="J181" s="5">
        <f t="shared" si="9"/>
        <v>0</v>
      </c>
    </row>
    <row r="182" spans="7:10" x14ac:dyDescent="0.45">
      <c r="G182" s="4" t="str">
        <f t="shared" si="10"/>
        <v>Buckling curves</v>
      </c>
      <c r="H182" s="4" t="str">
        <f t="shared" si="8"/>
        <v xml:space="preserve">Buckling curves - </v>
      </c>
      <c r="I182" s="5">
        <f t="shared" si="9"/>
        <v>0</v>
      </c>
      <c r="J182" s="5">
        <f t="shared" si="9"/>
        <v>0</v>
      </c>
    </row>
    <row r="183" spans="7:10" x14ac:dyDescent="0.45">
      <c r="G183" s="4" t="str">
        <f t="shared" si="10"/>
        <v>Buckling curves</v>
      </c>
      <c r="H183" s="4" t="str">
        <f t="shared" si="8"/>
        <v xml:space="preserve">Buckling curves - </v>
      </c>
      <c r="I183" s="5">
        <f t="shared" si="9"/>
        <v>0</v>
      </c>
      <c r="J183" s="5">
        <f t="shared" si="9"/>
        <v>0</v>
      </c>
    </row>
    <row r="184" spans="7:10" x14ac:dyDescent="0.45">
      <c r="G184" s="4" t="str">
        <f t="shared" si="10"/>
        <v>Buckling curves</v>
      </c>
      <c r="H184" s="4" t="str">
        <f t="shared" si="8"/>
        <v xml:space="preserve">Buckling curves - </v>
      </c>
      <c r="I184" s="5">
        <f t="shared" si="9"/>
        <v>0</v>
      </c>
      <c r="J184" s="5">
        <f t="shared" si="9"/>
        <v>0</v>
      </c>
    </row>
    <row r="185" spans="7:10" x14ac:dyDescent="0.45">
      <c r="G185" s="4" t="str">
        <f t="shared" si="10"/>
        <v>Buckling curves</v>
      </c>
      <c r="H185" s="4" t="str">
        <f t="shared" si="8"/>
        <v xml:space="preserve">Buckling curves - </v>
      </c>
      <c r="I185" s="5">
        <f t="shared" si="9"/>
        <v>0</v>
      </c>
      <c r="J185" s="5">
        <f t="shared" si="9"/>
        <v>0</v>
      </c>
    </row>
    <row r="186" spans="7:10" x14ac:dyDescent="0.45">
      <c r="G186" s="4" t="str">
        <f t="shared" si="10"/>
        <v>Buckling curves</v>
      </c>
      <c r="H186" s="4" t="str">
        <f t="shared" si="8"/>
        <v xml:space="preserve">Buckling curves - </v>
      </c>
      <c r="I186" s="5">
        <f t="shared" si="9"/>
        <v>0</v>
      </c>
      <c r="J186" s="5">
        <f t="shared" si="9"/>
        <v>0</v>
      </c>
    </row>
    <row r="187" spans="7:10" x14ac:dyDescent="0.45">
      <c r="G187" s="4" t="str">
        <f t="shared" si="10"/>
        <v>Buckling curves</v>
      </c>
      <c r="H187" s="4" t="str">
        <f t="shared" si="8"/>
        <v xml:space="preserve">Buckling curves - </v>
      </c>
      <c r="I187" s="5">
        <f t="shared" si="9"/>
        <v>0</v>
      </c>
      <c r="J187" s="5">
        <f t="shared" si="9"/>
        <v>0</v>
      </c>
    </row>
    <row r="188" spans="7:10" x14ac:dyDescent="0.45">
      <c r="G188" s="4" t="str">
        <f t="shared" si="10"/>
        <v>Buckling curves</v>
      </c>
      <c r="H188" s="4" t="str">
        <f t="shared" si="8"/>
        <v xml:space="preserve">Buckling curves - </v>
      </c>
      <c r="I188" s="5">
        <f t="shared" si="9"/>
        <v>0</v>
      </c>
      <c r="J188" s="5">
        <f t="shared" si="9"/>
        <v>0</v>
      </c>
    </row>
    <row r="189" spans="7:10" x14ac:dyDescent="0.45">
      <c r="G189" s="4" t="str">
        <f t="shared" si="10"/>
        <v>Buckling curves</v>
      </c>
      <c r="H189" s="4" t="str">
        <f t="shared" si="8"/>
        <v xml:space="preserve">Buckling curves - </v>
      </c>
      <c r="I189" s="5">
        <f t="shared" si="9"/>
        <v>0</v>
      </c>
      <c r="J189" s="5">
        <f t="shared" si="9"/>
        <v>0</v>
      </c>
    </row>
    <row r="190" spans="7:10" x14ac:dyDescent="0.45">
      <c r="G190" s="4" t="str">
        <f t="shared" si="10"/>
        <v>Buckling curves</v>
      </c>
      <c r="H190" s="4" t="str">
        <f t="shared" si="8"/>
        <v xml:space="preserve">Buckling curves - </v>
      </c>
      <c r="I190" s="5">
        <f t="shared" si="9"/>
        <v>0</v>
      </c>
      <c r="J190" s="5">
        <f t="shared" si="9"/>
        <v>0</v>
      </c>
    </row>
    <row r="191" spans="7:10" x14ac:dyDescent="0.45">
      <c r="G191" s="4" t="str">
        <f t="shared" si="10"/>
        <v>Buckling curves</v>
      </c>
      <c r="H191" s="4" t="str">
        <f t="shared" si="8"/>
        <v xml:space="preserve">Buckling curves - </v>
      </c>
      <c r="I191" s="5">
        <f t="shared" si="9"/>
        <v>0</v>
      </c>
      <c r="J191" s="5">
        <f t="shared" si="9"/>
        <v>0</v>
      </c>
    </row>
    <row r="192" spans="7:10" x14ac:dyDescent="0.45">
      <c r="G192" s="4" t="str">
        <f t="shared" si="10"/>
        <v>Buckling curves</v>
      </c>
      <c r="H192" s="4" t="str">
        <f t="shared" si="8"/>
        <v xml:space="preserve">Buckling curves - </v>
      </c>
      <c r="I192" s="5">
        <f t="shared" si="9"/>
        <v>0</v>
      </c>
      <c r="J192" s="5">
        <f t="shared" si="9"/>
        <v>0</v>
      </c>
    </row>
    <row r="193" spans="7:10" x14ac:dyDescent="0.45">
      <c r="G193" s="4" t="str">
        <f t="shared" si="10"/>
        <v>Buckling curves</v>
      </c>
      <c r="H193" s="4" t="str">
        <f t="shared" si="8"/>
        <v xml:space="preserve">Buckling curves - </v>
      </c>
      <c r="I193" s="5">
        <f t="shared" si="9"/>
        <v>0</v>
      </c>
      <c r="J193" s="5">
        <f t="shared" si="9"/>
        <v>0</v>
      </c>
    </row>
    <row r="194" spans="7:10" x14ac:dyDescent="0.45">
      <c r="G194" s="4" t="str">
        <f t="shared" si="10"/>
        <v>Buckling curves</v>
      </c>
      <c r="H194" s="4" t="str">
        <f t="shared" si="8"/>
        <v xml:space="preserve">Buckling curves - </v>
      </c>
      <c r="I194" s="5">
        <f t="shared" si="9"/>
        <v>0</v>
      </c>
      <c r="J194" s="5">
        <f t="shared" si="9"/>
        <v>0</v>
      </c>
    </row>
    <row r="195" spans="7:10" x14ac:dyDescent="0.45">
      <c r="G195" s="4" t="str">
        <f t="shared" si="10"/>
        <v>Buckling curves</v>
      </c>
      <c r="H195" s="4" t="str">
        <f t="shared" si="8"/>
        <v xml:space="preserve">Buckling curves - </v>
      </c>
      <c r="I195" s="5">
        <f t="shared" si="9"/>
        <v>0</v>
      </c>
      <c r="J195" s="5">
        <f t="shared" si="9"/>
        <v>0</v>
      </c>
    </row>
    <row r="196" spans="7:10" x14ac:dyDescent="0.45">
      <c r="G196" s="4" t="str">
        <f t="shared" si="10"/>
        <v>Buckling curves</v>
      </c>
      <c r="H196" s="4" t="str">
        <f t="shared" ref="H196:H250" si="11">G196&amp;" - "&amp;B196</f>
        <v xml:space="preserve">Buckling curves - </v>
      </c>
      <c r="I196" s="5">
        <f t="shared" ref="I196:J233" si="12">B196</f>
        <v>0</v>
      </c>
      <c r="J196" s="5">
        <f t="shared" si="12"/>
        <v>0</v>
      </c>
    </row>
    <row r="197" spans="7:10" x14ac:dyDescent="0.45">
      <c r="G197" s="4" t="str">
        <f t="shared" ref="G197:G250" si="13">IF(A197="",G196,A197)</f>
        <v>Buckling curves</v>
      </c>
      <c r="H197" s="4" t="str">
        <f t="shared" si="11"/>
        <v xml:space="preserve">Buckling curves - </v>
      </c>
      <c r="I197" s="5">
        <f t="shared" si="12"/>
        <v>0</v>
      </c>
      <c r="J197" s="5">
        <f t="shared" si="12"/>
        <v>0</v>
      </c>
    </row>
    <row r="198" spans="7:10" x14ac:dyDescent="0.45">
      <c r="G198" s="4" t="str">
        <f t="shared" si="13"/>
        <v>Buckling curves</v>
      </c>
      <c r="H198" s="4" t="str">
        <f t="shared" si="11"/>
        <v xml:space="preserve">Buckling curves - </v>
      </c>
      <c r="I198" s="5">
        <f t="shared" si="12"/>
        <v>0</v>
      </c>
      <c r="J198" s="5">
        <f t="shared" si="12"/>
        <v>0</v>
      </c>
    </row>
    <row r="199" spans="7:10" x14ac:dyDescent="0.45">
      <c r="G199" s="4" t="str">
        <f t="shared" si="13"/>
        <v>Buckling curves</v>
      </c>
      <c r="H199" s="4" t="str">
        <f t="shared" si="11"/>
        <v xml:space="preserve">Buckling curves - </v>
      </c>
      <c r="I199" s="5">
        <f t="shared" si="12"/>
        <v>0</v>
      </c>
      <c r="J199" s="5">
        <f t="shared" si="12"/>
        <v>0</v>
      </c>
    </row>
    <row r="200" spans="7:10" x14ac:dyDescent="0.45">
      <c r="G200" s="4" t="str">
        <f t="shared" si="13"/>
        <v>Buckling curves</v>
      </c>
      <c r="H200" s="4" t="str">
        <f t="shared" si="11"/>
        <v xml:space="preserve">Buckling curves - </v>
      </c>
      <c r="I200" s="5">
        <f t="shared" si="12"/>
        <v>0</v>
      </c>
      <c r="J200" s="5">
        <f t="shared" si="12"/>
        <v>0</v>
      </c>
    </row>
    <row r="201" spans="7:10" x14ac:dyDescent="0.45">
      <c r="G201" s="4" t="str">
        <f t="shared" si="13"/>
        <v>Buckling curves</v>
      </c>
      <c r="H201" s="4" t="str">
        <f t="shared" si="11"/>
        <v xml:space="preserve">Buckling curves - </v>
      </c>
      <c r="I201" s="5">
        <f t="shared" si="12"/>
        <v>0</v>
      </c>
      <c r="J201" s="5">
        <f t="shared" si="12"/>
        <v>0</v>
      </c>
    </row>
    <row r="202" spans="7:10" x14ac:dyDescent="0.45">
      <c r="G202" s="4" t="str">
        <f t="shared" si="13"/>
        <v>Buckling curves</v>
      </c>
      <c r="H202" s="4" t="str">
        <f t="shared" si="11"/>
        <v xml:space="preserve">Buckling curves - </v>
      </c>
      <c r="I202" s="5">
        <f t="shared" si="12"/>
        <v>0</v>
      </c>
      <c r="J202" s="5">
        <f t="shared" si="12"/>
        <v>0</v>
      </c>
    </row>
    <row r="203" spans="7:10" x14ac:dyDescent="0.45">
      <c r="G203" s="4" t="str">
        <f t="shared" si="13"/>
        <v>Buckling curves</v>
      </c>
      <c r="H203" s="4" t="str">
        <f t="shared" si="11"/>
        <v xml:space="preserve">Buckling curves - </v>
      </c>
      <c r="I203" s="5">
        <f t="shared" si="12"/>
        <v>0</v>
      </c>
      <c r="J203" s="5">
        <f t="shared" si="12"/>
        <v>0</v>
      </c>
    </row>
    <row r="204" spans="7:10" x14ac:dyDescent="0.45">
      <c r="G204" s="4" t="str">
        <f t="shared" si="13"/>
        <v>Buckling curves</v>
      </c>
      <c r="H204" s="4" t="str">
        <f t="shared" si="11"/>
        <v xml:space="preserve">Buckling curves - </v>
      </c>
      <c r="I204" s="5">
        <f t="shared" si="12"/>
        <v>0</v>
      </c>
      <c r="J204" s="5">
        <f t="shared" si="12"/>
        <v>0</v>
      </c>
    </row>
    <row r="205" spans="7:10" x14ac:dyDescent="0.45">
      <c r="G205" s="4" t="str">
        <f t="shared" si="13"/>
        <v>Buckling curves</v>
      </c>
      <c r="H205" s="4" t="str">
        <f t="shared" si="11"/>
        <v xml:space="preserve">Buckling curves - </v>
      </c>
      <c r="I205" s="5">
        <f t="shared" si="12"/>
        <v>0</v>
      </c>
      <c r="J205" s="5">
        <f t="shared" si="12"/>
        <v>0</v>
      </c>
    </row>
    <row r="206" spans="7:10" x14ac:dyDescent="0.45">
      <c r="G206" s="4" t="str">
        <f t="shared" si="13"/>
        <v>Buckling curves</v>
      </c>
      <c r="H206" s="4" t="str">
        <f t="shared" si="11"/>
        <v xml:space="preserve">Buckling curves - </v>
      </c>
      <c r="I206" s="5">
        <f t="shared" si="12"/>
        <v>0</v>
      </c>
      <c r="J206" s="5">
        <f t="shared" si="12"/>
        <v>0</v>
      </c>
    </row>
    <row r="207" spans="7:10" x14ac:dyDescent="0.45">
      <c r="G207" s="4" t="str">
        <f t="shared" si="13"/>
        <v>Buckling curves</v>
      </c>
      <c r="H207" s="4" t="str">
        <f t="shared" si="11"/>
        <v xml:space="preserve">Buckling curves - </v>
      </c>
      <c r="I207" s="5">
        <f t="shared" si="12"/>
        <v>0</v>
      </c>
      <c r="J207" s="5">
        <f t="shared" si="12"/>
        <v>0</v>
      </c>
    </row>
    <row r="208" spans="7:10" x14ac:dyDescent="0.45">
      <c r="G208" s="4" t="str">
        <f t="shared" si="13"/>
        <v>Buckling curves</v>
      </c>
      <c r="H208" s="4" t="str">
        <f t="shared" si="11"/>
        <v xml:space="preserve">Buckling curves - </v>
      </c>
      <c r="I208" s="5">
        <f t="shared" si="12"/>
        <v>0</v>
      </c>
      <c r="J208" s="5">
        <f t="shared" si="12"/>
        <v>0</v>
      </c>
    </row>
    <row r="209" spans="7:10" x14ac:dyDescent="0.45">
      <c r="G209" s="4" t="str">
        <f t="shared" si="13"/>
        <v>Buckling curves</v>
      </c>
      <c r="H209" s="4" t="str">
        <f t="shared" si="11"/>
        <v xml:space="preserve">Buckling curves - </v>
      </c>
      <c r="I209" s="5">
        <f t="shared" si="12"/>
        <v>0</v>
      </c>
      <c r="J209" s="5">
        <f t="shared" si="12"/>
        <v>0</v>
      </c>
    </row>
    <row r="210" spans="7:10" x14ac:dyDescent="0.45">
      <c r="G210" s="4" t="str">
        <f t="shared" si="13"/>
        <v>Buckling curves</v>
      </c>
      <c r="H210" s="4" t="str">
        <f t="shared" si="11"/>
        <v xml:space="preserve">Buckling curves - </v>
      </c>
      <c r="I210" s="5">
        <f t="shared" si="12"/>
        <v>0</v>
      </c>
      <c r="J210" s="5">
        <f t="shared" si="12"/>
        <v>0</v>
      </c>
    </row>
    <row r="211" spans="7:10" x14ac:dyDescent="0.45">
      <c r="G211" s="4" t="str">
        <f t="shared" si="13"/>
        <v>Buckling curves</v>
      </c>
      <c r="H211" s="4" t="str">
        <f t="shared" si="11"/>
        <v xml:space="preserve">Buckling curves - </v>
      </c>
      <c r="I211" s="5">
        <f t="shared" si="12"/>
        <v>0</v>
      </c>
      <c r="J211" s="5">
        <f t="shared" si="12"/>
        <v>0</v>
      </c>
    </row>
    <row r="212" spans="7:10" x14ac:dyDescent="0.45">
      <c r="G212" s="4" t="str">
        <f t="shared" si="13"/>
        <v>Buckling curves</v>
      </c>
      <c r="H212" s="4" t="str">
        <f t="shared" si="11"/>
        <v xml:space="preserve">Buckling curves - </v>
      </c>
      <c r="I212" s="5">
        <f t="shared" si="12"/>
        <v>0</v>
      </c>
      <c r="J212" s="5">
        <f t="shared" si="12"/>
        <v>0</v>
      </c>
    </row>
    <row r="213" spans="7:10" x14ac:dyDescent="0.45">
      <c r="G213" s="4" t="str">
        <f t="shared" si="13"/>
        <v>Buckling curves</v>
      </c>
      <c r="H213" s="4" t="str">
        <f t="shared" si="11"/>
        <v xml:space="preserve">Buckling curves - </v>
      </c>
      <c r="I213" s="5">
        <f t="shared" si="12"/>
        <v>0</v>
      </c>
      <c r="J213" s="5">
        <f t="shared" si="12"/>
        <v>0</v>
      </c>
    </row>
    <row r="214" spans="7:10" x14ac:dyDescent="0.45">
      <c r="G214" s="4" t="str">
        <f t="shared" si="13"/>
        <v>Buckling curves</v>
      </c>
      <c r="H214" s="4" t="str">
        <f t="shared" si="11"/>
        <v xml:space="preserve">Buckling curves - </v>
      </c>
      <c r="I214" s="5">
        <f t="shared" si="12"/>
        <v>0</v>
      </c>
      <c r="J214" s="5">
        <f t="shared" si="12"/>
        <v>0</v>
      </c>
    </row>
    <row r="215" spans="7:10" x14ac:dyDescent="0.45">
      <c r="G215" s="4" t="str">
        <f t="shared" si="13"/>
        <v>Buckling curves</v>
      </c>
      <c r="H215" s="4" t="str">
        <f t="shared" si="11"/>
        <v xml:space="preserve">Buckling curves - </v>
      </c>
      <c r="I215" s="5">
        <f t="shared" si="12"/>
        <v>0</v>
      </c>
      <c r="J215" s="5">
        <f t="shared" si="12"/>
        <v>0</v>
      </c>
    </row>
    <row r="216" spans="7:10" x14ac:dyDescent="0.45">
      <c r="G216" s="4" t="str">
        <f t="shared" si="13"/>
        <v>Buckling curves</v>
      </c>
      <c r="H216" s="4" t="str">
        <f t="shared" si="11"/>
        <v xml:space="preserve">Buckling curves - </v>
      </c>
      <c r="I216" s="5">
        <f t="shared" si="12"/>
        <v>0</v>
      </c>
      <c r="J216" s="5">
        <f t="shared" si="12"/>
        <v>0</v>
      </c>
    </row>
    <row r="217" spans="7:10" x14ac:dyDescent="0.45">
      <c r="G217" s="4" t="str">
        <f t="shared" si="13"/>
        <v>Buckling curves</v>
      </c>
      <c r="H217" s="4" t="str">
        <f t="shared" si="11"/>
        <v xml:space="preserve">Buckling curves - </v>
      </c>
      <c r="I217" s="5">
        <f t="shared" si="12"/>
        <v>0</v>
      </c>
      <c r="J217" s="5">
        <f t="shared" si="12"/>
        <v>0</v>
      </c>
    </row>
    <row r="218" spans="7:10" x14ac:dyDescent="0.45">
      <c r="G218" s="4" t="str">
        <f t="shared" si="13"/>
        <v>Buckling curves</v>
      </c>
      <c r="H218" s="4" t="str">
        <f t="shared" si="11"/>
        <v xml:space="preserve">Buckling curves - </v>
      </c>
      <c r="I218" s="5">
        <f t="shared" si="12"/>
        <v>0</v>
      </c>
      <c r="J218" s="5">
        <f t="shared" si="12"/>
        <v>0</v>
      </c>
    </row>
    <row r="219" spans="7:10" x14ac:dyDescent="0.45">
      <c r="G219" s="4" t="str">
        <f t="shared" si="13"/>
        <v>Buckling curves</v>
      </c>
      <c r="H219" s="4" t="str">
        <f t="shared" si="11"/>
        <v xml:space="preserve">Buckling curves - </v>
      </c>
      <c r="I219" s="5">
        <f t="shared" si="12"/>
        <v>0</v>
      </c>
      <c r="J219" s="5">
        <f t="shared" si="12"/>
        <v>0</v>
      </c>
    </row>
    <row r="220" spans="7:10" x14ac:dyDescent="0.45">
      <c r="G220" s="4" t="str">
        <f t="shared" si="13"/>
        <v>Buckling curves</v>
      </c>
      <c r="H220" s="4" t="str">
        <f t="shared" si="11"/>
        <v xml:space="preserve">Buckling curves - </v>
      </c>
      <c r="I220" s="5">
        <f t="shared" si="12"/>
        <v>0</v>
      </c>
      <c r="J220" s="5">
        <f t="shared" si="12"/>
        <v>0</v>
      </c>
    </row>
    <row r="221" spans="7:10" x14ac:dyDescent="0.45">
      <c r="G221" s="4" t="str">
        <f t="shared" si="13"/>
        <v>Buckling curves</v>
      </c>
      <c r="H221" s="4" t="str">
        <f t="shared" si="11"/>
        <v xml:space="preserve">Buckling curves - </v>
      </c>
      <c r="I221" s="5">
        <f t="shared" si="12"/>
        <v>0</v>
      </c>
      <c r="J221" s="5">
        <f t="shared" si="12"/>
        <v>0</v>
      </c>
    </row>
    <row r="222" spans="7:10" x14ac:dyDescent="0.45">
      <c r="G222" s="4" t="str">
        <f t="shared" si="13"/>
        <v>Buckling curves</v>
      </c>
      <c r="H222" s="4" t="str">
        <f t="shared" si="11"/>
        <v xml:space="preserve">Buckling curves - </v>
      </c>
      <c r="I222" s="5">
        <f t="shared" si="12"/>
        <v>0</v>
      </c>
      <c r="J222" s="5">
        <f t="shared" si="12"/>
        <v>0</v>
      </c>
    </row>
    <row r="223" spans="7:10" x14ac:dyDescent="0.45">
      <c r="G223" s="4" t="str">
        <f t="shared" si="13"/>
        <v>Buckling curves</v>
      </c>
      <c r="H223" s="4" t="str">
        <f t="shared" si="11"/>
        <v xml:space="preserve">Buckling curves - </v>
      </c>
      <c r="I223" s="5">
        <f t="shared" si="12"/>
        <v>0</v>
      </c>
      <c r="J223" s="5">
        <f t="shared" si="12"/>
        <v>0</v>
      </c>
    </row>
    <row r="224" spans="7:10" x14ac:dyDescent="0.45">
      <c r="G224" s="4" t="str">
        <f t="shared" si="13"/>
        <v>Buckling curves</v>
      </c>
      <c r="H224" s="4" t="str">
        <f t="shared" si="11"/>
        <v xml:space="preserve">Buckling curves - </v>
      </c>
      <c r="I224" s="5">
        <f t="shared" si="12"/>
        <v>0</v>
      </c>
      <c r="J224" s="5">
        <f t="shared" si="12"/>
        <v>0</v>
      </c>
    </row>
    <row r="225" spans="7:10" x14ac:dyDescent="0.45">
      <c r="G225" s="4" t="str">
        <f t="shared" si="13"/>
        <v>Buckling curves</v>
      </c>
      <c r="H225" s="4" t="str">
        <f t="shared" si="11"/>
        <v xml:space="preserve">Buckling curves - </v>
      </c>
      <c r="I225" s="5">
        <f t="shared" si="12"/>
        <v>0</v>
      </c>
      <c r="J225" s="5">
        <f t="shared" si="12"/>
        <v>0</v>
      </c>
    </row>
    <row r="226" spans="7:10" x14ac:dyDescent="0.45">
      <c r="G226" s="4" t="str">
        <f t="shared" si="13"/>
        <v>Buckling curves</v>
      </c>
      <c r="H226" s="4" t="str">
        <f t="shared" si="11"/>
        <v xml:space="preserve">Buckling curves - </v>
      </c>
      <c r="I226" s="5">
        <f t="shared" si="12"/>
        <v>0</v>
      </c>
      <c r="J226" s="5">
        <f t="shared" si="12"/>
        <v>0</v>
      </c>
    </row>
    <row r="227" spans="7:10" x14ac:dyDescent="0.45">
      <c r="G227" s="4" t="str">
        <f t="shared" si="13"/>
        <v>Buckling curves</v>
      </c>
      <c r="H227" s="4" t="str">
        <f t="shared" si="11"/>
        <v xml:space="preserve">Buckling curves - </v>
      </c>
      <c r="I227" s="5">
        <f t="shared" si="12"/>
        <v>0</v>
      </c>
      <c r="J227" s="5">
        <f t="shared" si="12"/>
        <v>0</v>
      </c>
    </row>
    <row r="228" spans="7:10" x14ac:dyDescent="0.45">
      <c r="G228" s="4" t="str">
        <f t="shared" si="13"/>
        <v>Buckling curves</v>
      </c>
      <c r="H228" s="4" t="str">
        <f t="shared" si="11"/>
        <v xml:space="preserve">Buckling curves - </v>
      </c>
      <c r="I228" s="5">
        <f t="shared" si="12"/>
        <v>0</v>
      </c>
      <c r="J228" s="5">
        <f t="shared" si="12"/>
        <v>0</v>
      </c>
    </row>
    <row r="229" spans="7:10" x14ac:dyDescent="0.45">
      <c r="G229" s="4" t="str">
        <f t="shared" si="13"/>
        <v>Buckling curves</v>
      </c>
      <c r="H229" s="4" t="str">
        <f t="shared" si="11"/>
        <v xml:space="preserve">Buckling curves - </v>
      </c>
      <c r="I229" s="5">
        <f t="shared" si="12"/>
        <v>0</v>
      </c>
      <c r="J229" s="5">
        <f t="shared" si="12"/>
        <v>0</v>
      </c>
    </row>
    <row r="230" spans="7:10" x14ac:dyDescent="0.45">
      <c r="G230" s="4" t="str">
        <f t="shared" si="13"/>
        <v>Buckling curves</v>
      </c>
      <c r="H230" s="4" t="str">
        <f t="shared" si="11"/>
        <v xml:space="preserve">Buckling curves - </v>
      </c>
      <c r="I230" s="5">
        <f t="shared" si="12"/>
        <v>0</v>
      </c>
      <c r="J230" s="5">
        <f t="shared" si="12"/>
        <v>0</v>
      </c>
    </row>
    <row r="231" spans="7:10" x14ac:dyDescent="0.45">
      <c r="G231" s="4" t="str">
        <f t="shared" si="13"/>
        <v>Buckling curves</v>
      </c>
      <c r="H231" s="4" t="str">
        <f t="shared" si="11"/>
        <v xml:space="preserve">Buckling curves - </v>
      </c>
      <c r="I231" s="5">
        <f t="shared" si="12"/>
        <v>0</v>
      </c>
      <c r="J231" s="5">
        <f t="shared" si="12"/>
        <v>0</v>
      </c>
    </row>
    <row r="232" spans="7:10" x14ac:dyDescent="0.45">
      <c r="G232" s="4" t="str">
        <f t="shared" si="13"/>
        <v>Buckling curves</v>
      </c>
      <c r="H232" s="4" t="str">
        <f t="shared" si="11"/>
        <v xml:space="preserve">Buckling curves - </v>
      </c>
      <c r="I232" s="5">
        <f t="shared" si="12"/>
        <v>0</v>
      </c>
      <c r="J232" s="5">
        <f t="shared" si="12"/>
        <v>0</v>
      </c>
    </row>
    <row r="233" spans="7:10" x14ac:dyDescent="0.45">
      <c r="G233" s="4" t="str">
        <f t="shared" si="13"/>
        <v>Buckling curves</v>
      </c>
      <c r="H233" s="4" t="str">
        <f t="shared" si="11"/>
        <v xml:space="preserve">Buckling curves - </v>
      </c>
      <c r="I233" s="5">
        <f t="shared" si="12"/>
        <v>0</v>
      </c>
      <c r="J233" s="5">
        <f t="shared" si="12"/>
        <v>0</v>
      </c>
    </row>
    <row r="234" spans="7:10" x14ac:dyDescent="0.45">
      <c r="G234" s="4" t="str">
        <f t="shared" si="13"/>
        <v>Buckling curves</v>
      </c>
      <c r="H234" s="4" t="str">
        <f t="shared" si="11"/>
        <v xml:space="preserve">Buckling curves - </v>
      </c>
      <c r="I234" s="5">
        <f t="shared" ref="I234:J250" si="14">B234</f>
        <v>0</v>
      </c>
      <c r="J234" s="5">
        <f t="shared" si="14"/>
        <v>0</v>
      </c>
    </row>
    <row r="235" spans="7:10" x14ac:dyDescent="0.45">
      <c r="G235" s="4" t="str">
        <f t="shared" si="13"/>
        <v>Buckling curves</v>
      </c>
      <c r="H235" s="4" t="str">
        <f t="shared" si="11"/>
        <v xml:space="preserve">Buckling curves - </v>
      </c>
      <c r="I235" s="5">
        <f t="shared" si="14"/>
        <v>0</v>
      </c>
      <c r="J235" s="5">
        <f t="shared" si="14"/>
        <v>0</v>
      </c>
    </row>
    <row r="236" spans="7:10" x14ac:dyDescent="0.45">
      <c r="G236" s="4" t="str">
        <f t="shared" si="13"/>
        <v>Buckling curves</v>
      </c>
      <c r="H236" s="4" t="str">
        <f t="shared" si="11"/>
        <v xml:space="preserve">Buckling curves - </v>
      </c>
      <c r="I236" s="5">
        <f t="shared" si="14"/>
        <v>0</v>
      </c>
      <c r="J236" s="5">
        <f t="shared" si="14"/>
        <v>0</v>
      </c>
    </row>
    <row r="237" spans="7:10" x14ac:dyDescent="0.45">
      <c r="G237" s="4" t="str">
        <f t="shared" si="13"/>
        <v>Buckling curves</v>
      </c>
      <c r="H237" s="4" t="str">
        <f t="shared" si="11"/>
        <v xml:space="preserve">Buckling curves - </v>
      </c>
      <c r="I237" s="5">
        <f t="shared" si="14"/>
        <v>0</v>
      </c>
      <c r="J237" s="5">
        <f t="shared" si="14"/>
        <v>0</v>
      </c>
    </row>
    <row r="238" spans="7:10" x14ac:dyDescent="0.45">
      <c r="G238" s="4" t="str">
        <f t="shared" si="13"/>
        <v>Buckling curves</v>
      </c>
      <c r="H238" s="4" t="str">
        <f t="shared" si="11"/>
        <v xml:space="preserve">Buckling curves - </v>
      </c>
      <c r="I238" s="5">
        <f t="shared" si="14"/>
        <v>0</v>
      </c>
      <c r="J238" s="5">
        <f t="shared" si="14"/>
        <v>0</v>
      </c>
    </row>
    <row r="239" spans="7:10" x14ac:dyDescent="0.45">
      <c r="G239" s="4" t="str">
        <f t="shared" si="13"/>
        <v>Buckling curves</v>
      </c>
      <c r="H239" s="4" t="str">
        <f t="shared" si="11"/>
        <v xml:space="preserve">Buckling curves - </v>
      </c>
      <c r="I239" s="5">
        <f t="shared" si="14"/>
        <v>0</v>
      </c>
      <c r="J239" s="5">
        <f t="shared" si="14"/>
        <v>0</v>
      </c>
    </row>
    <row r="240" spans="7:10" x14ac:dyDescent="0.45">
      <c r="G240" s="4" t="str">
        <f t="shared" si="13"/>
        <v>Buckling curves</v>
      </c>
      <c r="H240" s="4" t="str">
        <f t="shared" si="11"/>
        <v xml:space="preserve">Buckling curves - </v>
      </c>
      <c r="I240" s="5">
        <f t="shared" si="14"/>
        <v>0</v>
      </c>
      <c r="J240" s="5">
        <f t="shared" si="14"/>
        <v>0</v>
      </c>
    </row>
    <row r="241" spans="7:10" x14ac:dyDescent="0.45">
      <c r="G241" s="4" t="str">
        <f t="shared" si="13"/>
        <v>Buckling curves</v>
      </c>
      <c r="H241" s="4" t="str">
        <f t="shared" si="11"/>
        <v xml:space="preserve">Buckling curves - </v>
      </c>
      <c r="I241" s="5">
        <f t="shared" si="14"/>
        <v>0</v>
      </c>
      <c r="J241" s="5">
        <f t="shared" si="14"/>
        <v>0</v>
      </c>
    </row>
    <row r="242" spans="7:10" x14ac:dyDescent="0.45">
      <c r="G242" s="4" t="str">
        <f t="shared" si="13"/>
        <v>Buckling curves</v>
      </c>
      <c r="H242" s="4" t="str">
        <f t="shared" si="11"/>
        <v xml:space="preserve">Buckling curves - </v>
      </c>
      <c r="I242" s="5">
        <f t="shared" si="14"/>
        <v>0</v>
      </c>
      <c r="J242" s="5">
        <f t="shared" si="14"/>
        <v>0</v>
      </c>
    </row>
    <row r="243" spans="7:10" x14ac:dyDescent="0.45">
      <c r="G243" s="4" t="str">
        <f t="shared" si="13"/>
        <v>Buckling curves</v>
      </c>
      <c r="H243" s="4" t="str">
        <f t="shared" si="11"/>
        <v xml:space="preserve">Buckling curves - </v>
      </c>
      <c r="I243" s="5">
        <f t="shared" si="14"/>
        <v>0</v>
      </c>
      <c r="J243" s="5">
        <f t="shared" si="14"/>
        <v>0</v>
      </c>
    </row>
    <row r="244" spans="7:10" x14ac:dyDescent="0.45">
      <c r="G244" s="4" t="str">
        <f t="shared" si="13"/>
        <v>Buckling curves</v>
      </c>
      <c r="H244" s="4" t="str">
        <f t="shared" si="11"/>
        <v xml:space="preserve">Buckling curves - </v>
      </c>
      <c r="I244" s="5">
        <f t="shared" si="14"/>
        <v>0</v>
      </c>
      <c r="J244" s="5">
        <f t="shared" si="14"/>
        <v>0</v>
      </c>
    </row>
    <row r="245" spans="7:10" x14ac:dyDescent="0.45">
      <c r="G245" s="4" t="str">
        <f t="shared" si="13"/>
        <v>Buckling curves</v>
      </c>
      <c r="H245" s="4" t="str">
        <f t="shared" si="11"/>
        <v xml:space="preserve">Buckling curves - </v>
      </c>
      <c r="I245" s="5">
        <f t="shared" si="14"/>
        <v>0</v>
      </c>
      <c r="J245" s="5">
        <f t="shared" si="14"/>
        <v>0</v>
      </c>
    </row>
    <row r="246" spans="7:10" x14ac:dyDescent="0.45">
      <c r="G246" s="4" t="str">
        <f t="shared" si="13"/>
        <v>Buckling curves</v>
      </c>
      <c r="H246" s="4" t="str">
        <f t="shared" si="11"/>
        <v xml:space="preserve">Buckling curves - </v>
      </c>
      <c r="I246" s="5">
        <f t="shared" si="14"/>
        <v>0</v>
      </c>
      <c r="J246" s="5">
        <f t="shared" si="14"/>
        <v>0</v>
      </c>
    </row>
    <row r="247" spans="7:10" x14ac:dyDescent="0.45">
      <c r="G247" s="4" t="str">
        <f t="shared" si="13"/>
        <v>Buckling curves</v>
      </c>
      <c r="H247" s="4" t="str">
        <f t="shared" si="11"/>
        <v xml:space="preserve">Buckling curves - </v>
      </c>
      <c r="I247" s="5">
        <f t="shared" si="14"/>
        <v>0</v>
      </c>
      <c r="J247" s="5">
        <f t="shared" si="14"/>
        <v>0</v>
      </c>
    </row>
    <row r="248" spans="7:10" x14ac:dyDescent="0.45">
      <c r="G248" s="4" t="str">
        <f t="shared" si="13"/>
        <v>Buckling curves</v>
      </c>
      <c r="H248" s="4" t="str">
        <f t="shared" si="11"/>
        <v xml:space="preserve">Buckling curves - </v>
      </c>
      <c r="I248" s="5">
        <f t="shared" si="14"/>
        <v>0</v>
      </c>
      <c r="J248" s="5">
        <f t="shared" si="14"/>
        <v>0</v>
      </c>
    </row>
    <row r="249" spans="7:10" x14ac:dyDescent="0.45">
      <c r="G249" s="4" t="str">
        <f t="shared" si="13"/>
        <v>Buckling curves</v>
      </c>
      <c r="H249" s="4" t="str">
        <f t="shared" si="11"/>
        <v xml:space="preserve">Buckling curves - </v>
      </c>
      <c r="I249" s="5">
        <f t="shared" si="14"/>
        <v>0</v>
      </c>
      <c r="J249" s="5">
        <f t="shared" si="14"/>
        <v>0</v>
      </c>
    </row>
    <row r="250" spans="7:10" x14ac:dyDescent="0.45">
      <c r="G250" s="4" t="str">
        <f t="shared" si="13"/>
        <v>Buckling curves</v>
      </c>
      <c r="H250" s="4" t="str">
        <f t="shared" si="11"/>
        <v xml:space="preserve">Buckling curves - </v>
      </c>
      <c r="I250" s="5">
        <f t="shared" si="14"/>
        <v>0</v>
      </c>
      <c r="J250" s="5">
        <f t="shared" si="14"/>
        <v>0</v>
      </c>
    </row>
  </sheetData>
  <mergeCells count="1">
    <mergeCell ref="O2:P2"/>
  </mergeCells>
  <dataValidations count="1">
    <dataValidation type="list" allowBlank="1" showInputMessage="1" showErrorMessage="1" sqref="O2 O65526 O131062 O196598 O262134 O327670 O393206 O458742 O524278 O589814 O655350 O720886 O786422 O851958 O917494 O983030" xr:uid="{1109BF71-C8BB-4A97-8364-6126770C781A}">
      <formula1>"PA,MA"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UP0002-eff</vt:lpstr>
      <vt:lpstr>UP0003-eff</vt:lpstr>
      <vt:lpstr>UP0004-eff</vt:lpstr>
      <vt:lpstr>UP0005-eff</vt:lpstr>
      <vt:lpstr>UP0006-eff</vt:lpstr>
      <vt:lpstr>UP0007-eff</vt:lpstr>
      <vt:lpstr>UP0008-eff</vt:lpstr>
      <vt:lpstr>UP0009-eff</vt:lpstr>
      <vt:lpstr>UP0010-eff</vt:lpstr>
      <vt:lpstr>UP0011-eff</vt:lpstr>
      <vt:lpstr>UP0012-eff</vt:lpstr>
      <vt:lpstr>UP0013-eff</vt:lpstr>
      <vt:lpstr>UP0014-eff</vt:lpstr>
      <vt:lpstr>UP0015-eff</vt:lpstr>
      <vt:lpstr>UP0016-eff</vt:lpstr>
      <vt:lpstr>UP0017-eff</vt:lpstr>
      <vt:lpstr>UP0018-eff</vt:lpstr>
      <vt:lpstr>UP0019-eff</vt:lpstr>
      <vt:lpstr>UP0020-eff</vt:lpstr>
      <vt:lpstr>UP0021-eff</vt:lpstr>
      <vt:lpstr>UP0022-eff</vt:lpstr>
      <vt:lpstr>UP0023-eff</vt:lpstr>
      <vt:lpstr>UP0024-eff</vt:lpstr>
      <vt:lpstr>UP0025-eff</vt:lpstr>
      <vt:lpstr>UP0026-eff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Up90-2.0T_1</dc:title>
  <dc:creator>Prathibha Mandala Rayabandla</dc:creator>
  <cp:lastModifiedBy>Nuumaan Khasim</cp:lastModifiedBy>
  <dcterms:created xsi:type="dcterms:W3CDTF">2020-02-13T04:12:46Z</dcterms:created>
  <dcterms:modified xsi:type="dcterms:W3CDTF">2026-06-16T08:56:14Z</dcterms:modified>
</cp:coreProperties>
</file>